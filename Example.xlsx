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Рабочая\2026.10.15\Генераторы\Генераторы\IO\"/>
    </mc:Choice>
  </mc:AlternateContent>
  <xr:revisionPtr revIDLastSave="0" documentId="8_{C04D9E55-C791-4BB4-86F1-78B9D5130D23}" xr6:coauthVersionLast="47" xr6:coauthVersionMax="47" xr10:uidLastSave="{00000000-0000-0000-0000-000000000000}"/>
  <bookViews>
    <workbookView xWindow="-120" yWindow="-120" windowWidth="29040" windowHeight="15720" activeTab="1" xr2:uid="{6D55194F-63A1-4C2B-BCA0-E4B7A21EEA66}"/>
  </bookViews>
  <sheets>
    <sheet name="Title" sheetId="4" r:id="rId1"/>
    <sheet name="Service" sheetId="5" r:id="rId2"/>
    <sheet name="1" sheetId="1" r:id="rId3"/>
    <sheet name="1 схема" sheetId="2" r:id="rId4"/>
    <sheet name="1 расположение" sheetId="10" r:id="rId5"/>
  </sheets>
  <definedNames>
    <definedName name="ALW_Cost" localSheetId="3">#REF!</definedName>
    <definedName name="ASE_Cost" localSheetId="3">#REF!</definedName>
    <definedName name="CO_Cost" localSheetId="3">#REF!</definedName>
    <definedName name="CO_Rate" localSheetId="3">#REF!</definedName>
    <definedName name="Country" localSheetId="3">#REF!</definedName>
    <definedName name="CPM_Cost" localSheetId="3">#REF!</definedName>
    <definedName name="CPM_Rate" localSheetId="3">#REF!</definedName>
    <definedName name="EUR_FY" localSheetId="3">#REF!</definedName>
    <definedName name="ExRates" localSheetId="3">#REF!</definedName>
    <definedName name="FA_Cost" localSheetId="3">#REF!</definedName>
    <definedName name="FA_hours" localSheetId="3">#REF!</definedName>
    <definedName name="FA_Rate" localSheetId="3">#REF!</definedName>
    <definedName name="FACTORS" comment="Таблица скидок/доставки" localSheetId="3">#REF!</definedName>
    <definedName name="HTL_Cost" localSheetId="3">#REF!</definedName>
    <definedName name="INCOTERMS" comment="Условия ИНКОТЕРМС для ТКП" localSheetId="3">#REF!</definedName>
    <definedName name="LE_Cost" localSheetId="3">#REF!</definedName>
    <definedName name="PA_Cost" localSheetId="3">#REF!</definedName>
    <definedName name="PA_Rate" localSheetId="3">#REF!</definedName>
    <definedName name="PB_Cur" comment="Pricebook Currency" localSheetId="3">#REF!</definedName>
    <definedName name="PM_Cost" localSheetId="3">#REF!</definedName>
    <definedName name="PU_Cost" localSheetId="3">#REF!</definedName>
    <definedName name="PU_Rate" localSheetId="3">#REF!</definedName>
    <definedName name="QDATE" localSheetId="3">#REF!</definedName>
    <definedName name="SE_Cost" localSheetId="3">#REF!</definedName>
    <definedName name="SE_Rate" localSheetId="3">#REF!</definedName>
    <definedName name="SepShip" comment="Выделять или не выделять доставку в ТКП" localSheetId="3">#REF!</definedName>
    <definedName name="SparePct" comment="Процент ЗИП-а, но не менее 1шт" localSheetId="3">#REF!</definedName>
    <definedName name="SPM_Cost" localSheetId="3">#REF!</definedName>
    <definedName name="SPM_Rate" localSheetId="3">#REF!</definedName>
    <definedName name="SSE_Cost" localSheetId="3">#REF!</definedName>
    <definedName name="SSE_Rate" localSheetId="3">#REF!</definedName>
    <definedName name="TR_Cost" localSheetId="3">#REF!</definedName>
    <definedName name="TRP_Cost" localSheetId="3">#REF!</definedName>
    <definedName name="USD_FY" localSheetId="3">#REF!</definedName>
    <definedName name="_xlnm.Print_Area" localSheetId="3">'1 схема'!$E$1:$DA$42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G9" i="1"/>
  <c r="G10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AQ21" i="2"/>
  <c r="N9" i="1"/>
  <c r="N10" i="1" s="1"/>
  <c r="O9" i="1"/>
  <c r="O10" i="1" s="1"/>
  <c r="P9" i="1"/>
  <c r="P10" i="1" s="1"/>
  <c r="Q9" i="1"/>
  <c r="Q10" i="1" s="1"/>
  <c r="R9" i="1"/>
  <c r="R10" i="1" s="1"/>
  <c r="S9" i="1"/>
  <c r="S10" i="1" s="1"/>
  <c r="T9" i="1"/>
  <c r="T10" i="1" s="1"/>
  <c r="U9" i="1"/>
  <c r="U10" i="1" s="1"/>
  <c r="V9" i="1"/>
  <c r="V10" i="1" s="1"/>
  <c r="W9" i="1"/>
  <c r="W10" i="1" s="1"/>
  <c r="X9" i="1"/>
  <c r="X10" i="1" s="1"/>
  <c r="Y9" i="1"/>
  <c r="Y10" i="1" s="1"/>
  <c r="Z9" i="1"/>
  <c r="Z10" i="1" s="1"/>
  <c r="AA9" i="1"/>
  <c r="AA10" i="1" s="1"/>
  <c r="AB9" i="1"/>
  <c r="AB10" i="1" s="1"/>
  <c r="AC9" i="1"/>
  <c r="AD9" i="1"/>
  <c r="AG9" i="1"/>
  <c r="AH9" i="1"/>
  <c r="AI9" i="1"/>
  <c r="AJ9" i="1"/>
  <c r="AF9" i="1"/>
  <c r="AX15" i="2" l="1"/>
  <c r="AT15" i="2"/>
  <c r="BF16" i="2" s="1"/>
  <c r="BB15" i="2"/>
  <c r="AF15" i="2"/>
  <c r="T15" i="2"/>
  <c r="M15" i="2"/>
  <c r="F15" i="2"/>
  <c r="AR22" i="2"/>
  <c r="AQ20" i="2"/>
  <c r="AX20" i="2"/>
  <c r="AU20" i="2"/>
  <c r="AM20" i="2"/>
  <c r="AJ20" i="2"/>
  <c r="CS20" i="2"/>
  <c r="CT21" i="2" s="1"/>
  <c r="CP20" i="2"/>
  <c r="CQ21" i="2" s="1"/>
  <c r="B40" i="1"/>
  <c r="B39" i="1"/>
  <c r="CP36" i="2"/>
  <c r="CS36" i="2"/>
  <c r="AH10" i="1"/>
  <c r="AG10" i="1"/>
  <c r="BR25" i="2"/>
  <c r="BS26" i="2" s="1"/>
  <c r="CE25" i="2"/>
  <c r="CF26" i="2" s="1"/>
  <c r="CT38" i="2" l="1"/>
  <c r="D40" i="1"/>
  <c r="CS19" i="2" s="1"/>
  <c r="CQ38" i="2"/>
  <c r="D39" i="1"/>
  <c r="CP19" i="2" s="1"/>
  <c r="BI25" i="2"/>
  <c r="BJ26" i="2" s="1"/>
  <c r="BO25" i="2"/>
  <c r="BP26" i="2" s="1"/>
  <c r="BA25" i="2"/>
  <c r="BB26" i="2" s="1"/>
  <c r="AU25" i="2"/>
  <c r="AV26" i="2" s="1"/>
  <c r="AJ25" i="2"/>
  <c r="AK26" i="2" s="1"/>
  <c r="X25" i="2"/>
  <c r="Y26" i="2" s="1"/>
  <c r="U25" i="2"/>
  <c r="V26" i="2" s="1"/>
  <c r="M25" i="2"/>
  <c r="N26" i="2" s="1"/>
  <c r="AX21" i="2"/>
  <c r="AU21" i="2"/>
  <c r="AM21" i="2"/>
  <c r="CQ34" i="2" l="1"/>
  <c r="CP34" i="2"/>
  <c r="AV22" i="2"/>
  <c r="AN22" i="2"/>
  <c r="AY22" i="2"/>
  <c r="E1" i="2" l="1"/>
  <c r="U36" i="2"/>
  <c r="AD25" i="2"/>
  <c r="AE26" i="2" s="1"/>
  <c r="D51" i="1" l="1"/>
  <c r="V38" i="2" l="1"/>
  <c r="U34" i="2" l="1"/>
  <c r="U30" i="2" s="1"/>
  <c r="U24" i="2"/>
  <c r="AI10" i="1"/>
  <c r="CW38" i="2" s="1"/>
  <c r="D54" i="1" l="1"/>
  <c r="D34" i="1"/>
  <c r="D36" i="1"/>
  <c r="AC10" i="1"/>
  <c r="AD10" i="1"/>
  <c r="BV38" i="2" s="1"/>
  <c r="BU34" i="2" s="1"/>
  <c r="D55" i="1" l="1"/>
  <c r="D35" i="1"/>
  <c r="BS38" i="2"/>
  <c r="BR34" i="2" s="1"/>
  <c r="CE20" i="2"/>
  <c r="CB20" i="2"/>
  <c r="BY20" i="2"/>
  <c r="BI20" i="2"/>
  <c r="AE8" i="1" l="1"/>
  <c r="CM20" i="2" l="1"/>
  <c r="CN21" i="2" s="1"/>
  <c r="G25" i="2"/>
  <c r="H26" i="2" s="1"/>
  <c r="E8" i="2"/>
  <c r="E4" i="2"/>
  <c r="E2" i="2"/>
  <c r="B38" i="1" l="1"/>
  <c r="B11" i="1"/>
  <c r="AJ21" i="2" l="1"/>
  <c r="AK22" i="2" s="1"/>
  <c r="AJ10" i="1" l="1"/>
  <c r="CZ38" i="2" s="1"/>
  <c r="AF10" i="1"/>
  <c r="CN38" i="2" l="1"/>
  <c r="CW34" i="2"/>
  <c r="CV34" i="2"/>
  <c r="D38" i="1"/>
  <c r="CM19" i="2" s="1"/>
  <c r="CM36" i="2"/>
  <c r="R16" i="2"/>
  <c r="E6" i="2"/>
  <c r="CM34" i="2" l="1"/>
  <c r="CN34" i="2"/>
  <c r="CZ34" i="2"/>
  <c r="CY34" i="2"/>
  <c r="K38" i="2"/>
  <c r="J34" i="2" s="1"/>
  <c r="D53" i="1"/>
  <c r="BH15" i="2" l="1"/>
  <c r="Q38" i="2"/>
  <c r="P34" i="2" s="1"/>
  <c r="BJ38" i="2"/>
  <c r="BI34" i="2" s="1"/>
  <c r="Y38" i="2"/>
  <c r="AN38" i="2"/>
  <c r="AY38" i="2"/>
  <c r="AK38" i="2" l="1"/>
  <c r="AJ24" i="2" s="1"/>
  <c r="D47" i="1"/>
  <c r="D48" i="1" s="1"/>
  <c r="AQ19" i="2" s="1"/>
  <c r="AX34" i="2"/>
  <c r="AX19" i="2"/>
  <c r="AM34" i="2"/>
  <c r="AM19" i="2"/>
  <c r="X34" i="2"/>
  <c r="X30" i="2" s="1"/>
  <c r="AV38" i="2"/>
  <c r="CF38" i="2"/>
  <c r="CC38" i="2"/>
  <c r="CB34" i="2" s="1"/>
  <c r="D50" i="1"/>
  <c r="X24" i="2"/>
  <c r="BI24" i="2"/>
  <c r="D49" i="1"/>
  <c r="AU34" i="2" l="1"/>
  <c r="AU30" i="2" s="1"/>
  <c r="AU19" i="2"/>
  <c r="AJ34" i="2"/>
  <c r="AJ30" i="2" s="1"/>
  <c r="AJ19" i="2"/>
  <c r="N38" i="2"/>
  <c r="M34" i="2" s="1"/>
  <c r="CE24" i="2"/>
  <c r="CE34" i="2"/>
  <c r="H38" i="2"/>
  <c r="BR30" i="2"/>
  <c r="BR24" i="2"/>
  <c r="AU24" i="2"/>
  <c r="M24" i="2" l="1"/>
  <c r="CE30" i="2"/>
  <c r="BI30" i="2"/>
  <c r="M30" i="2"/>
  <c r="D37" i="1" l="1"/>
  <c r="D52" i="1" l="1"/>
  <c r="AE38" i="2"/>
  <c r="AD34" i="2" s="1"/>
  <c r="BB38" i="2"/>
  <c r="AH38" i="2"/>
  <c r="AG34" i="2" s="1"/>
  <c r="CB19" i="2"/>
  <c r="CB30" i="2" s="1"/>
  <c r="BM38" i="2"/>
  <c r="BL34" i="2" s="1"/>
  <c r="CI38" i="2"/>
  <c r="CH34" i="2" s="1"/>
  <c r="BE38" i="2"/>
  <c r="BD34" i="2" s="1"/>
  <c r="AE9" i="1"/>
  <c r="AE10" i="1" s="1"/>
  <c r="D31" i="1" l="1"/>
  <c r="D30" i="1" s="1"/>
  <c r="BA34" i="2"/>
  <c r="DC35" i="2" s="1"/>
  <c r="BA24" i="2"/>
  <c r="D27" i="1"/>
  <c r="D26" i="1"/>
  <c r="D33" i="1" s="1"/>
  <c r="AB38" i="2"/>
  <c r="AA34" i="2" s="1"/>
  <c r="BP38" i="2"/>
  <c r="BO34" i="2" s="1"/>
  <c r="CE19" i="2"/>
  <c r="BZ38" i="2"/>
  <c r="BY34" i="2" s="1"/>
  <c r="D29" i="1" l="1"/>
  <c r="DD35" i="2"/>
  <c r="DE35" i="2"/>
  <c r="BO30" i="2"/>
  <c r="BO24" i="2"/>
  <c r="E9" i="2"/>
  <c r="G24" i="2"/>
  <c r="D32" i="1" l="1"/>
  <c r="G34" i="2"/>
  <c r="DF35" i="2" s="1"/>
  <c r="G30" i="2" l="1"/>
  <c r="D22" i="1"/>
  <c r="D21" i="1" l="1"/>
  <c r="D45" i="1" s="1"/>
  <c r="D44" i="1"/>
  <c r="D43" i="1"/>
  <c r="BI19" i="2"/>
  <c r="BA30" i="2"/>
  <c r="D42" i="1" l="1"/>
  <c r="BY19" i="2"/>
  <c r="BH14" i="2" l="1"/>
  <c r="AX30" i="2"/>
  <c r="AA30" i="2"/>
  <c r="BU30" i="2" l="1"/>
  <c r="BY30" i="2"/>
  <c r="BL30" i="2" l="1"/>
  <c r="CH30" i="2"/>
  <c r="AD24" i="2" l="1"/>
  <c r="AD30" i="2" l="1"/>
  <c r="AM30" i="2"/>
  <c r="E7" i="2" l="1"/>
  <c r="D25" i="1" l="1"/>
  <c r="D41" i="1"/>
  <c r="AO16" i="2" l="1"/>
  <c r="F14" i="2" l="1"/>
  <c r="P30" i="2" s="1"/>
  <c r="AT14" i="2"/>
  <c r="BD30" i="2" s="1"/>
  <c r="T14" i="2"/>
  <c r="AG30" i="2" l="1"/>
  <c r="E3" i="2"/>
  <c r="J30" i="2"/>
  <c r="D46" i="1" l="1"/>
  <c r="E5" i="2" s="1"/>
</calcChain>
</file>

<file path=xl/sharedStrings.xml><?xml version="1.0" encoding="utf-8"?>
<sst xmlns="http://schemas.openxmlformats.org/spreadsheetml/2006/main" count="634" uniqueCount="280">
  <si>
    <t>battery</t>
  </si>
  <si>
    <t>connector</t>
  </si>
  <si>
    <t>HPW2405G</t>
  </si>
  <si>
    <t>CP</t>
  </si>
  <si>
    <t>Power</t>
  </si>
  <si>
    <t>cable</t>
  </si>
  <si>
    <t>Итого</t>
  </si>
  <si>
    <t>24V DC</t>
  </si>
  <si>
    <t>2-х пров.сх.</t>
  </si>
  <si>
    <t>сухой конт.</t>
  </si>
  <si>
    <t>4-20 мА</t>
  </si>
  <si>
    <t>DO</t>
  </si>
  <si>
    <t>DI</t>
  </si>
  <si>
    <t>AO</t>
  </si>
  <si>
    <t>AI</t>
  </si>
  <si>
    <t>Каналов:</t>
  </si>
  <si>
    <t>Сигналов:</t>
  </si>
  <si>
    <t>Провода:</t>
  </si>
  <si>
    <t>клемма</t>
  </si>
  <si>
    <t>2 метра</t>
  </si>
  <si>
    <t>Провод</t>
  </si>
  <si>
    <t>Итого c резервом</t>
  </si>
  <si>
    <t>DC4</t>
  </si>
  <si>
    <t>Клемма</t>
  </si>
  <si>
    <t>клем+пред</t>
  </si>
  <si>
    <t>Name_Project:</t>
  </si>
  <si>
    <t>Name executor:</t>
  </si>
  <si>
    <t>синхронизация контролера</t>
  </si>
  <si>
    <t>Yes</t>
  </si>
  <si>
    <t>No</t>
  </si>
  <si>
    <t>module AI</t>
  </si>
  <si>
    <t>module DI</t>
  </si>
  <si>
    <t>module DO</t>
  </si>
  <si>
    <t>term_board</t>
  </si>
  <si>
    <t>module AO</t>
  </si>
  <si>
    <t>module ModBus</t>
  </si>
  <si>
    <t>Modbus</t>
  </si>
  <si>
    <t>RS485</t>
  </si>
  <si>
    <t>cables</t>
  </si>
  <si>
    <t>4-х пров.сх.</t>
  </si>
  <si>
    <t>Багдасарян А.А.</t>
  </si>
  <si>
    <t>Exi</t>
  </si>
  <si>
    <t>Modbus RS-485</t>
  </si>
  <si>
    <t>220V AC</t>
  </si>
  <si>
    <t xml:space="preserve">FI
</t>
  </si>
  <si>
    <t>HPW2420G</t>
  </si>
  <si>
    <t>Module HSC</t>
  </si>
  <si>
    <t>Резерв</t>
  </si>
  <si>
    <t>NAMUR</t>
  </si>
  <si>
    <t>RTD</t>
  </si>
  <si>
    <t>TC</t>
  </si>
  <si>
    <t>0-10 В</t>
  </si>
  <si>
    <t>PS I/O</t>
  </si>
  <si>
    <t>Сигналов</t>
  </si>
  <si>
    <t>YR2eDIODE</t>
  </si>
  <si>
    <t>Diode</t>
  </si>
  <si>
    <t>AI RTD</t>
  </si>
  <si>
    <t>AI HART</t>
  </si>
  <si>
    <t>AO HART</t>
  </si>
  <si>
    <t>AI RTD Exi</t>
  </si>
  <si>
    <t>AI TC Exi</t>
  </si>
  <si>
    <t>AI TC</t>
  </si>
  <si>
    <t>частотно-импульсный</t>
  </si>
  <si>
    <t>Com</t>
  </si>
  <si>
    <t>HPW2410G</t>
  </si>
  <si>
    <t>Блок питания, вход: 85–264 В перем. тока, выход 24 В пост. тока, 5 А</t>
  </si>
  <si>
    <t>Блок питания, вход: 85–264 В перем. тока, выход 24 В пост. тока, 10 А</t>
  </si>
  <si>
    <t>Блок питания, вход: 85–264 В перем. тока, выход 24 В пост. тока, 20 А</t>
  </si>
  <si>
    <t>GM010-ISW-24L-C01</t>
  </si>
  <si>
    <t>Ethernet</t>
  </si>
  <si>
    <t xml:space="preserve">Ethernet </t>
  </si>
  <si>
    <t>AI/AO</t>
  </si>
  <si>
    <t>DI/DO 24</t>
  </si>
  <si>
    <t>FI</t>
  </si>
  <si>
    <t>MOXA NPORT 5232I</t>
  </si>
  <si>
    <t xml:space="preserve">Hart Мультиплексор </t>
  </si>
  <si>
    <t>KR-HART-MUX8.M3</t>
  </si>
  <si>
    <t>В станцию КИП</t>
  </si>
  <si>
    <t>AI Exi 4-20 мА</t>
  </si>
  <si>
    <t>AI 4-20 мА</t>
  </si>
  <si>
    <t>AO Exi 4-20 мА</t>
  </si>
  <si>
    <t>AO 4-20 мА</t>
  </si>
  <si>
    <t>AI Exi 0-10 В</t>
  </si>
  <si>
    <t xml:space="preserve">AI 0-10 В </t>
  </si>
  <si>
    <t>DI Exi 24 В</t>
  </si>
  <si>
    <t>DI 24 В</t>
  </si>
  <si>
    <t>DI NAMUR 24 В</t>
  </si>
  <si>
    <t>DI 220 В</t>
  </si>
  <si>
    <t>DO 220 В реле</t>
  </si>
  <si>
    <t xml:space="preserve">DO Exi 24 В </t>
  </si>
  <si>
    <t>DO 24 В</t>
  </si>
  <si>
    <t>OptiPower DR-75-24-1</t>
  </si>
  <si>
    <t>Блок питания, вход: 230 В перем. тока, выход 24 В пост. тока, 5 А</t>
  </si>
  <si>
    <t>Блок питания, вход: 230 В перем. тока, выход 24 В пост. тока, 3.2 А</t>
  </si>
  <si>
    <t>OptiPower DR-120-24-1</t>
  </si>
  <si>
    <t>Блок питания, вход: 230 В перем. тока, выход 24 В пост. тока, 10 А</t>
  </si>
  <si>
    <t>OptiPower DRP-240-24-1</t>
  </si>
  <si>
    <t>КАН-МД40</t>
  </si>
  <si>
    <t>Аналоговые входы/выходы</t>
  </si>
  <si>
    <t>Дискретные входы/выходы</t>
  </si>
  <si>
    <t>AI Exi 4-20 мА HART</t>
  </si>
  <si>
    <t>AI 4-20 мА HART</t>
  </si>
  <si>
    <t>AO Exi 4-20 мА HART</t>
  </si>
  <si>
    <t>AO 4-20 мА HART</t>
  </si>
  <si>
    <t>MDR-100-24</t>
  </si>
  <si>
    <t>Блок питания</t>
  </si>
  <si>
    <t>DRDN20-24</t>
  </si>
  <si>
    <t>Вспомогательный модуль блок резервирования питания, вход: 19-29 VDC выход: 24VDC,20A</t>
  </si>
  <si>
    <t>DS1016-20</t>
  </si>
  <si>
    <t>DS1016-10</t>
  </si>
  <si>
    <t>FRC-10-30</t>
  </si>
  <si>
    <t>Разъем IDC-20F</t>
  </si>
  <si>
    <t>Разъем IDC-10F</t>
  </si>
  <si>
    <t>Шлейф</t>
  </si>
  <si>
    <t>Разъем IDC-40F</t>
  </si>
  <si>
    <t>DS1016-40</t>
  </si>
  <si>
    <t>64 канала ввода/вывода (8 групп по 8 каналов в группе с программным назначением группы на ввод или вывод), в комплекте с клеммным модулем АРКС400.CLD</t>
  </si>
  <si>
    <t>Модуль АРКС400.DIO.64.CLD состоит из электронного блока АРКС400.DIO (может быть также на 32 канала и называется АРКС400.DIO.32 – 4 группы по 8 каналов) и нижнего клеммного модуля АРКС400.CLD.</t>
  </si>
  <si>
    <t>0-20 мА, 4-20 мА, 0-5 мА, 0-10 В</t>
  </si>
  <si>
    <t>ТП, мВ, ТС по 3х-проводной и 4х-проводной схеме в любом сочетании**</t>
  </si>
  <si>
    <t>Источник питания (DC/DC преобразователь) 24/24VDC, 4 выходных канала с индивидуальной гальванической развязкой и защитой от короткого замыкания, 0,14 А</t>
  </si>
  <si>
    <t>connector1</t>
  </si>
  <si>
    <t>connector2</t>
  </si>
  <si>
    <t>connector3</t>
  </si>
  <si>
    <t>АРКС400.KDI.8AC220</t>
  </si>
  <si>
    <t>ввод 220 В, переменный ток</t>
  </si>
  <si>
    <t>АРКС400.KDI.8DC220</t>
  </si>
  <si>
    <t>ввод 220 В, постоянный ток</t>
  </si>
  <si>
    <t>АРКС400.KDI.8DC24</t>
  </si>
  <si>
    <t>ввод 24 В, постоянный ток</t>
  </si>
  <si>
    <t>АРКС400.KDI.8AC24</t>
  </si>
  <si>
    <t>ввод 24 В, переменный, постоянный или выпрямленный ток</t>
  </si>
  <si>
    <t>DI 220</t>
  </si>
  <si>
    <t>DI 24</t>
  </si>
  <si>
    <t>DO 24</t>
  </si>
  <si>
    <t>АРКС400.KDO.8SR</t>
  </si>
  <si>
    <t>АРКС400.KDO.8R</t>
  </si>
  <si>
    <t>Описание</t>
  </si>
  <si>
    <t>БПО</t>
  </si>
  <si>
    <t>16 каналов ввода и 0 каналов вывода, 4-20 мА/0-5 мА/0-10 В в любом сочетании, 0-10 В поддержан на первых 8 каналах ввода;</t>
  </si>
  <si>
    <t>8 каналов ввода и 2 канала вывода, 4-20 мА/0-5 мА/0-10 В в любом сочетании;</t>
  </si>
  <si>
    <t>DO 220</t>
  </si>
  <si>
    <t>0-10 В поддержан на первых 8 каналах ввода;</t>
  </si>
  <si>
    <t>0-10 В в любом сочетании;</t>
  </si>
  <si>
    <t>module AI TC/RTD</t>
  </si>
  <si>
    <t>module AI (U,I)</t>
  </si>
  <si>
    <t>Количество DIN-реек на шкаф</t>
  </si>
  <si>
    <t>Шкафов</t>
  </si>
  <si>
    <t>Процент сигналов с питанием от шкафа</t>
  </si>
  <si>
    <t>module AIO (U,I)</t>
  </si>
  <si>
    <t>Разъемов:</t>
  </si>
  <si>
    <t>Процент свободного места в шкафе</t>
  </si>
  <si>
    <t>Резервирование AI</t>
  </si>
  <si>
    <t>Резервирование AO</t>
  </si>
  <si>
    <t>Резервирование DI</t>
  </si>
  <si>
    <t>Резервирование DO</t>
  </si>
  <si>
    <t>Резервирование контроллеров</t>
  </si>
  <si>
    <t>FI Exi</t>
  </si>
  <si>
    <t>Fi</t>
  </si>
  <si>
    <t>Ввод 220 В переменный</t>
  </si>
  <si>
    <t>Ввод 24 В постоянный</t>
  </si>
  <si>
    <t>Вывод 220 В переменный</t>
  </si>
  <si>
    <t>Сеть Modbus</t>
  </si>
  <si>
    <t>АРКС.СРВ.1.lc.10k</t>
  </si>
  <si>
    <t>число тегов 40 000 - система реального времени для: АРМ под Windows (w); АРМ под Linux (l)</t>
  </si>
  <si>
    <t>число тегов 10 000 - система реального времени для: АРМ под Windows (w); АРМ под Linux (l);
число тегов 25 000 - система реального времени для контроллеров под Linux (lc)</t>
  </si>
  <si>
    <t>число тегов 2500 - система реального времени для: АРМ под Windows (w); АРМ под Linux (l); контроллеров под Linux (lc), WindowCE (wc)</t>
  </si>
  <si>
    <t xml:space="preserve">число тегов 640 - система реального времени для: АРМ под Windows (w); АРМ под Linux (l); контроллеров под Linux (lc), WindowCE (wc) </t>
  </si>
  <si>
    <t>АРКС.конфигуратор.1.320k</t>
  </si>
  <si>
    <t>АРКС.конфигуратор.1.40k</t>
  </si>
  <si>
    <t>АРКС.конфигуратор.1.10k</t>
  </si>
  <si>
    <t>АРКС.конфигуратор.1.2,5k</t>
  </si>
  <si>
    <t>АРКС.конфигуратор.1.640</t>
  </si>
  <si>
    <r>
      <t xml:space="preserve">сетевая, </t>
    </r>
    <r>
      <rPr>
        <sz val="10"/>
        <rFont val="Arial"/>
        <family val="2"/>
        <charset val="204"/>
      </rPr>
      <t>число тегов 320 000 - ПО для разработки распределенных  АСУТП и программирования контроллеров.</t>
    </r>
  </si>
  <si>
    <r>
      <t xml:space="preserve">сетевая, </t>
    </r>
    <r>
      <rPr>
        <sz val="10"/>
        <rFont val="Arial"/>
        <family val="2"/>
        <charset val="204"/>
      </rPr>
      <t>число тегов 40 000 - ПО для разработки распределенных  АСУТП и программирования контроллеров.</t>
    </r>
  </si>
  <si>
    <r>
      <t xml:space="preserve">сетевая, </t>
    </r>
    <r>
      <rPr>
        <sz val="10"/>
        <rFont val="Arial"/>
        <family val="2"/>
        <charset val="204"/>
      </rPr>
      <t>число тегов 10 000 - ПО для разработки распределенных  АСУТП и программирования контроллеров.</t>
    </r>
  </si>
  <si>
    <r>
      <t xml:space="preserve">сетевая, </t>
    </r>
    <r>
      <rPr>
        <sz val="10"/>
        <rFont val="Arial"/>
        <family val="2"/>
        <charset val="204"/>
      </rPr>
      <t>число тегов 2500 - ПО для разработки распределенных  АСУТП и программирования контроллеров.</t>
    </r>
  </si>
  <si>
    <r>
      <t xml:space="preserve">упрощенный вариант, </t>
    </r>
    <r>
      <rPr>
        <sz val="10"/>
        <rFont val="Arial"/>
        <family val="2"/>
        <charset val="204"/>
      </rPr>
      <t>число тегов 640  - ПО для разработки распределенных  АСУТП.</t>
    </r>
  </si>
  <si>
    <t>число тегов 320 000 - система реального времени для АРМ под Windows или Linux</t>
  </si>
  <si>
    <t>АРКС.СРВ.1.w/l.320k</t>
  </si>
  <si>
    <t>АРКС.СРВ.1.w/l.40k</t>
  </si>
  <si>
    <t>АРКС.СРВ.1.w/l.10k</t>
  </si>
  <si>
    <t>АРКС.СРВ.1.w/l.2,5k</t>
  </si>
  <si>
    <t>АРКС.СРВ.1.w/l.640</t>
  </si>
  <si>
    <t>ФПО</t>
  </si>
  <si>
    <t>СРВ</t>
  </si>
  <si>
    <t>число тегов 2500 - система реального времени для: контроллеров под Linux (lc), WindowCE (wc)</t>
  </si>
  <si>
    <t xml:space="preserve">число тегов 640 - система реального времени для: для контроллеров под Linux (lc), WindowCE (wc) </t>
  </si>
  <si>
    <t>АРКС.СРВ.1.lc/wc.2,5k</t>
  </si>
  <si>
    <t>АРКС.СРВ.1.lc/wc.640</t>
  </si>
  <si>
    <t xml:space="preserve">module AI TC/RTD, AO (U,I) </t>
  </si>
  <si>
    <t>АРКС400.P410</t>
  </si>
  <si>
    <t>Нагрузка, Вт</t>
  </si>
  <si>
    <t>АРКС400.DIO.64.CLD</t>
  </si>
  <si>
    <t>АРКС400.DIO.32.CLD</t>
  </si>
  <si>
    <t>АРКС400.AIO.1.16/0.CLU2</t>
  </si>
  <si>
    <t>АРКС400.AIO.1.08/0.CLU2</t>
  </si>
  <si>
    <t>АРКС400.AIO.1.16/2.CLU2</t>
  </si>
  <si>
    <t>АРКС400.AIO.1.08/2.CLU2</t>
  </si>
  <si>
    <t>АРКС400.AIO.1.00/2.CLU2</t>
  </si>
  <si>
    <t>АРКС400.AIO.2.32/0.CLU22</t>
  </si>
  <si>
    <t>АРКС400.AIO.2.32/2.CLU22</t>
  </si>
  <si>
    <t>АРКС400.AIO.2.08/0.CLU2</t>
  </si>
  <si>
    <t>АРКС400.AIO.2.08/2.CLU2</t>
  </si>
  <si>
    <t>АРКС400.AIO.2.16/0.CLU2</t>
  </si>
  <si>
    <t>АРКС400.AIO.2.16/2.CLU2</t>
  </si>
  <si>
    <t>число тегов 25 000 - система реального времени для контроллеров под Linux (lc)</t>
  </si>
  <si>
    <t>NDR-120-24</t>
  </si>
  <si>
    <t>EDR-150-24</t>
  </si>
  <si>
    <t>NDR-240-24</t>
  </si>
  <si>
    <t>NDR-480-24</t>
  </si>
  <si>
    <t>TDR-960-24</t>
  </si>
  <si>
    <t>АРКС400.PS.4/24</t>
  </si>
  <si>
    <t>MasterPLC.500</t>
  </si>
  <si>
    <t>MasterPLC.1000</t>
  </si>
  <si>
    <t>MasterPLC.2500</t>
  </si>
  <si>
    <t>MasterPLC.5000</t>
  </si>
  <si>
    <t>MasterPLC.10000</t>
  </si>
  <si>
    <t>MasterPLC.500.R</t>
  </si>
  <si>
    <t>MasterPLC.1000.R</t>
  </si>
  <si>
    <t>MasterPLC.2500.R</t>
  </si>
  <si>
    <t>MasterPLC.5000.R</t>
  </si>
  <si>
    <t>MasterPLC.10000.R</t>
  </si>
  <si>
    <t>Процессорный модуль; 800 МГц; SDRAM 1024 МБ; Flash 512 МБ; 2 х Ethernet IEEE 802.3 10/100 Мбит; 4 х RS485 и 1 х RS-485/RS-232; 32 канала дискретного ввода 24VDC (4 группы по 8 каналов); 32 канала дискретного вывода 24VDC (4 группы по 8 каналов);</t>
  </si>
  <si>
    <t>Конвертер RS-485/Ethernet</t>
  </si>
  <si>
    <t>6PK-214</t>
  </si>
  <si>
    <t>интерфейсов</t>
  </si>
  <si>
    <t>RS232</t>
  </si>
  <si>
    <t>4-20 мА/
0-10 В</t>
  </si>
  <si>
    <t>DC2.5-01P-11-00Z(H)</t>
  </si>
  <si>
    <t>DC4-HE-01P-13-00Z(H)</t>
  </si>
  <si>
    <t>стабил.</t>
  </si>
  <si>
    <t>DS2.5-QU-01P-11-00Z(H)</t>
  </si>
  <si>
    <t>BZX55C4V7</t>
  </si>
  <si>
    <t>клем для стабил.</t>
  </si>
  <si>
    <t>АРКС400.AIO.3.12/0.CLU2</t>
  </si>
  <si>
    <t>12 каналов ввода и 0 каналов вывода, 4-20 мА/0-5 мА/0-10 В в любом сочетании, 0-10 В поддержан на первых 8 каналах ввода;</t>
  </si>
  <si>
    <t>АРКС400.AIO.3.12/6.CLU2</t>
  </si>
  <si>
    <t>АРКС400.AIO.3.00/6.CLU2</t>
  </si>
  <si>
    <t>DC4-HE</t>
  </si>
  <si>
    <t>12 каналов ввода и 2 канала вывода, 4-20 мА/0-5 мА</t>
  </si>
  <si>
    <t>RTD &gt; 4-20 мА</t>
  </si>
  <si>
    <t>RTD&gt;AI</t>
  </si>
  <si>
    <t>ЛПА-310-200</t>
  </si>
  <si>
    <t>ЛПА-350-220</t>
  </si>
  <si>
    <t>Реле/Барьеры отдельно</t>
  </si>
  <si>
    <t>Ширина на DIN</t>
  </si>
  <si>
    <t>Колличество</t>
  </si>
  <si>
    <t>TREI S240HC-0</t>
  </si>
  <si>
    <t>ЛПА-350-110</t>
  </si>
  <si>
    <t>ЛПА-151-111</t>
  </si>
  <si>
    <t>ЛПА-151-211</t>
  </si>
  <si>
    <t>БИ-004-Б</t>
  </si>
  <si>
    <t>Быстродействующие барьеры искробезопасности с универсальным конфигурируемым выходом для датчиков типа «сухой контакт» и «NAMUR».</t>
  </si>
  <si>
    <t>ЛПА-142-101</t>
  </si>
  <si>
    <t>ЛПА-142-201</t>
  </si>
  <si>
    <t>ЛПА-340-100</t>
  </si>
  <si>
    <t>ЛПА-141-201</t>
  </si>
  <si>
    <t>ЛПА-141-301</t>
  </si>
  <si>
    <t>ЛПА-140-101</t>
  </si>
  <si>
    <t>ЛПА-140-201</t>
  </si>
  <si>
    <t>ЛПА-340-200</t>
  </si>
  <si>
    <t>ЛПА-310-100</t>
  </si>
  <si>
    <t>ЛПА-141-401</t>
  </si>
  <si>
    <t>КА5013Ех-10</t>
  </si>
  <si>
    <t>КА5003Ex-02</t>
  </si>
  <si>
    <t xml:space="preserve">КА5241Ex-01 </t>
  </si>
  <si>
    <t>КА5241Ex-01</t>
  </si>
  <si>
    <t>YN-SI1300A-8FE-T2-PR</t>
  </si>
  <si>
    <t>Foundation Fieldbus</t>
  </si>
  <si>
    <t>MGate 5111</t>
  </si>
  <si>
    <t>G0313</t>
  </si>
  <si>
    <t>Modbus RS-232</t>
  </si>
  <si>
    <t>tDS-718 CR</t>
  </si>
  <si>
    <t>YN-SI2700AE RM</t>
  </si>
  <si>
    <t>Шкаф</t>
  </si>
  <si>
    <t>YN-SI2700A-4GX-8GP</t>
  </si>
  <si>
    <t>Profibus DP</t>
  </si>
  <si>
    <t>Вывод 24 В постоянный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</si>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</sst>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[$$-409]#,##0"/>
    <numFmt numFmtId="166" formatCode="_ &quot;$&quot;\ * #,##0.00_ ;_ &quot;$&quot;\ * \-#,##0.00_ ;_ &quot;$&quot;\ * &quot;-&quot;??_ ;_ @_ "/>
    <numFmt numFmtId="167" formatCode="##\ &quot;h&quot;"/>
    <numFmt numFmtId="168" formatCode="[$$-409]#,##0.00"/>
    <numFmt numFmtId="169" formatCode="0.0%"/>
  </numFmts>
  <fonts count="65">
    <font>
      <sz val="10"/>
      <name val="Arial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 Cyr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Tahoma"/>
      <family val="2"/>
      <charset val="204"/>
    </font>
    <font>
      <sz val="11"/>
      <name val="Arial"/>
      <family val="2"/>
      <charset val="204"/>
    </font>
    <font>
      <sz val="11"/>
      <color rgb="FF3F3F76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9"/>
      <name val="arial"/>
      <family val="2"/>
      <charset val="204"/>
    </font>
    <font>
      <sz val="10"/>
      <name val="TimesET"/>
    </font>
    <font>
      <b/>
      <sz val="9"/>
      <name val="Arial"/>
      <family val="2"/>
      <charset val="204"/>
    </font>
    <font>
      <sz val="9"/>
      <name val="Arial"/>
      <family val="2"/>
    </font>
    <font>
      <b/>
      <sz val="12"/>
      <name val="NTHelvetica/Cyrillic"/>
    </font>
    <font>
      <b/>
      <sz val="11"/>
      <name val="PragmaticaCTT"/>
      <charset val="2"/>
    </font>
    <font>
      <b/>
      <i/>
      <sz val="9"/>
      <color indexed="37"/>
      <name val="Arial"/>
      <family val="2"/>
      <charset val="204"/>
    </font>
    <font>
      <sz val="12"/>
      <name val="PragmaticaCTT"/>
      <charset val="2"/>
    </font>
    <font>
      <sz val="10"/>
      <name val="Arial"/>
      <family val="2"/>
    </font>
    <font>
      <b/>
      <sz val="16"/>
      <name val="Arial Narrow"/>
      <family val="2"/>
    </font>
    <font>
      <b/>
      <sz val="10"/>
      <name val="NTHelvetica/Cyrillic"/>
    </font>
    <font>
      <u/>
      <sz val="9"/>
      <color indexed="12"/>
      <name val="Arial"/>
      <family val="2"/>
    </font>
    <font>
      <b/>
      <sz val="11"/>
      <color indexed="12"/>
      <name val="Arial"/>
      <family val="2"/>
    </font>
    <font>
      <sz val="8"/>
      <color indexed="9"/>
      <name val="Arial"/>
      <family val="2"/>
    </font>
    <font>
      <sz val="10"/>
      <color indexed="20"/>
      <name val="Arial"/>
      <family val="2"/>
    </font>
    <font>
      <b/>
      <sz val="14"/>
      <name val="Arial Black"/>
      <family val="2"/>
      <charset val="204"/>
    </font>
    <font>
      <sz val="10"/>
      <name val="Helv"/>
    </font>
    <font>
      <sz val="10"/>
      <color indexed="21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12"/>
      <color indexed="20"/>
      <name val="Arial"/>
      <family val="2"/>
    </font>
    <font>
      <b/>
      <sz val="10"/>
      <color indexed="8"/>
      <name val="MS Sans Serif"/>
      <family val="2"/>
      <charset val="204"/>
    </font>
    <font>
      <sz val="9"/>
      <name val="TimesET"/>
    </font>
    <font>
      <b/>
      <sz val="8"/>
      <color indexed="10"/>
      <name val="Arial"/>
      <family val="2"/>
    </font>
    <font>
      <b/>
      <sz val="10"/>
      <color indexed="20"/>
      <name val="Arial"/>
      <family val="2"/>
    </font>
    <font>
      <sz val="10"/>
      <color rgb="FF000000"/>
      <name val="Arial"/>
      <family val="2"/>
      <charset val="204"/>
    </font>
    <font>
      <sz val="11"/>
      <color rgb="FF666666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</font>
    <font>
      <sz val="12"/>
      <name val="宋体"/>
      <charset val="134"/>
    </font>
    <font>
      <sz val="10"/>
      <color rgb="FF00B0F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B0F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0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  <fill>
      <patternFill patternType="gray0625"/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gray0625">
        <bgColor indexed="9"/>
      </patternFill>
    </fill>
    <fill>
      <patternFill patternType="solid">
        <fgColor indexed="42"/>
        <bgColor indexed="39"/>
      </patternFill>
    </fill>
    <fill>
      <patternFill patternType="lightGray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 style="medium">
        <color theme="8"/>
      </top>
      <bottom style="thin">
        <color indexed="64"/>
      </bottom>
      <diagonal/>
    </border>
    <border>
      <left/>
      <right style="medium">
        <color theme="8"/>
      </right>
      <top style="medium">
        <color theme="8"/>
      </top>
      <bottom style="thin">
        <color indexed="64"/>
      </bottom>
      <diagonal/>
    </border>
    <border>
      <left style="medium">
        <color theme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8"/>
      </right>
      <top style="thin">
        <color indexed="64"/>
      </top>
      <bottom style="thin">
        <color indexed="64"/>
      </bottom>
      <diagonal/>
    </border>
    <border>
      <left style="medium">
        <color theme="8"/>
      </left>
      <right style="thin">
        <color indexed="64"/>
      </right>
      <top style="thin">
        <color indexed="64"/>
      </top>
      <bottom style="medium">
        <color theme="8"/>
      </bottom>
      <diagonal/>
    </border>
    <border>
      <left style="thin">
        <color indexed="64"/>
      </left>
      <right style="medium">
        <color theme="8"/>
      </right>
      <top style="thin">
        <color indexed="64"/>
      </top>
      <bottom style="medium">
        <color theme="8"/>
      </bottom>
      <diagonal/>
    </border>
    <border>
      <left style="medium">
        <color theme="7"/>
      </left>
      <right style="thin">
        <color indexed="64"/>
      </right>
      <top style="thin">
        <color indexed="64"/>
      </top>
      <bottom style="medium">
        <color theme="7"/>
      </bottom>
      <diagonal/>
    </border>
    <border>
      <left style="thin">
        <color indexed="64"/>
      </left>
      <right style="medium">
        <color theme="7"/>
      </right>
      <top style="thin">
        <color indexed="64"/>
      </top>
      <bottom style="medium">
        <color theme="7"/>
      </bottom>
      <diagonal/>
    </border>
    <border>
      <left style="medium">
        <color rgb="FF00B0F0"/>
      </left>
      <right/>
      <top style="medium">
        <color rgb="FF00B0F0"/>
      </top>
      <bottom style="thin">
        <color indexed="64"/>
      </bottom>
      <diagonal/>
    </border>
    <border>
      <left/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medium">
        <color theme="7"/>
      </left>
      <right/>
      <top style="medium">
        <color theme="7"/>
      </top>
      <bottom style="thin">
        <color indexed="64"/>
      </bottom>
      <diagonal/>
    </border>
    <border>
      <left/>
      <right style="medium">
        <color theme="7"/>
      </right>
      <top style="medium">
        <color theme="7"/>
      </top>
      <bottom style="thin">
        <color indexed="64"/>
      </bottom>
      <diagonal/>
    </border>
    <border>
      <left style="medium">
        <color theme="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indexed="64"/>
      </left>
      <right/>
      <top/>
      <bottom/>
      <diagonal/>
    </border>
    <border>
      <left style="medium">
        <color rgb="FF0070C0"/>
      </left>
      <right/>
      <top style="medium">
        <color theme="8"/>
      </top>
      <bottom/>
      <diagonal/>
    </border>
    <border>
      <left/>
      <right style="medium">
        <color rgb="FF0070C0"/>
      </right>
      <top/>
      <bottom/>
      <diagonal/>
    </border>
    <border>
      <left/>
      <right/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/>
      <bottom/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5"/>
      </top>
      <bottom/>
      <diagonal/>
    </border>
    <border>
      <left style="medium">
        <color theme="5"/>
      </left>
      <right style="thin">
        <color indexed="64"/>
      </right>
      <top style="thin">
        <color indexed="64"/>
      </top>
      <bottom style="medium">
        <color theme="5"/>
      </bottom>
      <diagonal/>
    </border>
    <border>
      <left style="medium">
        <color theme="5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thin">
        <color indexed="64"/>
      </top>
      <bottom style="medium">
        <color theme="5"/>
      </bottom>
      <diagonal/>
    </border>
  </borders>
  <cellStyleXfs count="6069">
    <xf numFmtId="165" fontId="0" fillId="0" borderId="0">
      <alignment vertical="top"/>
    </xf>
    <xf numFmtId="0" fontId="15" fillId="0" borderId="0"/>
    <xf numFmtId="0" fontId="18" fillId="0" borderId="0"/>
    <xf numFmtId="9" fontId="21" fillId="0" borderId="0" applyFont="0" applyFill="0" applyBorder="0" applyAlignment="0" applyProtection="0"/>
    <xf numFmtId="165" fontId="21" fillId="0" borderId="0">
      <alignment vertical="top"/>
    </xf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4" fontId="29" fillId="0" borderId="0" applyFont="0" applyFill="0" applyBorder="0" applyProtection="0">
      <alignment horizontal="right" vertical="top" wrapText="1"/>
    </xf>
    <xf numFmtId="165" fontId="21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top"/>
    </xf>
    <xf numFmtId="168" fontId="31" fillId="0" borderId="0">
      <alignment vertical="top"/>
    </xf>
    <xf numFmtId="168" fontId="44" fillId="0" borderId="0"/>
    <xf numFmtId="168" fontId="31" fillId="0" borderId="0">
      <alignment vertical="top"/>
    </xf>
    <xf numFmtId="168" fontId="44" fillId="0" borderId="0"/>
    <xf numFmtId="168" fontId="44" fillId="0" borderId="0"/>
    <xf numFmtId="168" fontId="44" fillId="0" borderId="0"/>
    <xf numFmtId="168" fontId="44" fillId="0" borderId="0"/>
    <xf numFmtId="168" fontId="44" fillId="0" borderId="0"/>
    <xf numFmtId="168" fontId="31" fillId="0" borderId="0">
      <alignment vertical="top"/>
    </xf>
    <xf numFmtId="168" fontId="31" fillId="0" borderId="0">
      <alignment vertical="top"/>
    </xf>
    <xf numFmtId="168" fontId="45" fillId="0" borderId="0" applyNumberFormat="0" applyBorder="0" applyAlignment="0"/>
    <xf numFmtId="3" fontId="40" fillId="9" borderId="29">
      <alignment horizontal="left" vertical="center"/>
    </xf>
    <xf numFmtId="168" fontId="43" fillId="0" borderId="0">
      <alignment horizontal="left" vertical="top"/>
    </xf>
    <xf numFmtId="166" fontId="21" fillId="0" borderId="0" applyFont="0" applyFill="0" applyBorder="0" applyAlignment="0" applyProtection="0"/>
    <xf numFmtId="3" fontId="46" fillId="0" borderId="25" applyNumberFormat="0" applyFont="0" applyFill="0" applyBorder="0" applyAlignment="0">
      <alignment horizontal="left" vertical="center"/>
      <protection locked="0"/>
    </xf>
    <xf numFmtId="168" fontId="21" fillId="10" borderId="0" applyNumberFormat="0" applyFont="0" applyBorder="0">
      <alignment horizontal="left" vertical="center"/>
    </xf>
    <xf numFmtId="168" fontId="38" fillId="9" borderId="28">
      <alignment horizontal="left" vertical="center" wrapText="1"/>
    </xf>
    <xf numFmtId="168" fontId="37" fillId="0" borderId="0" applyNumberFormat="0" applyFill="0" applyBorder="0" applyAlignment="0" applyProtection="0">
      <alignment horizontal="left" vertical="top"/>
    </xf>
    <xf numFmtId="168" fontId="22" fillId="0" borderId="0">
      <alignment horizontal="left" vertical="top"/>
    </xf>
    <xf numFmtId="168" fontId="34" fillId="0" borderId="0">
      <alignment horizontal="left" vertical="top"/>
    </xf>
    <xf numFmtId="168" fontId="41" fillId="0" borderId="0" applyNumberFormat="0" applyFill="0" applyBorder="0" applyAlignment="0"/>
    <xf numFmtId="168" fontId="47" fillId="11" borderId="30">
      <alignment horizontal="right"/>
    </xf>
    <xf numFmtId="168" fontId="39" fillId="0" borderId="0" applyNumberFormat="0" applyFill="0" applyBorder="0" applyAlignment="0" applyProtection="0">
      <alignment vertical="top"/>
      <protection locked="0"/>
    </xf>
    <xf numFmtId="3" fontId="47" fillId="12" borderId="31" applyBorder="0">
      <alignment horizontal="right" vertical="center"/>
      <protection locked="0"/>
    </xf>
    <xf numFmtId="168" fontId="42" fillId="0" borderId="30">
      <alignment horizontal="left"/>
    </xf>
    <xf numFmtId="3" fontId="48" fillId="13" borderId="29">
      <alignment vertical="center"/>
    </xf>
    <xf numFmtId="3" fontId="49" fillId="0" borderId="32" applyNumberFormat="0" applyFont="0" applyAlignment="0">
      <alignment vertical="center"/>
    </xf>
    <xf numFmtId="168" fontId="50" fillId="0" borderId="0">
      <alignment horizontal="left" vertical="top"/>
    </xf>
    <xf numFmtId="168" fontId="31" fillId="0" borderId="0">
      <alignment vertical="top"/>
    </xf>
    <xf numFmtId="1" fontId="28" fillId="0" borderId="0">
      <alignment horizontal="center" vertical="top" wrapText="1"/>
    </xf>
    <xf numFmtId="168" fontId="51" fillId="14" borderId="0" applyNumberFormat="0" applyFill="0" applyBorder="0" applyAlignment="0"/>
    <xf numFmtId="4" fontId="33" fillId="9" borderId="22">
      <alignment horizontal="left" vertical="center" wrapText="1"/>
    </xf>
    <xf numFmtId="4" fontId="30" fillId="0" borderId="26">
      <alignment vertical="center" wrapText="1"/>
    </xf>
    <xf numFmtId="168" fontId="21" fillId="0" borderId="32"/>
    <xf numFmtId="168" fontId="32" fillId="15" borderId="28" applyNumberFormat="0" applyProtection="0">
      <alignment horizontal="left" vertical="center" wrapText="1"/>
    </xf>
    <xf numFmtId="4" fontId="35" fillId="9" borderId="26">
      <alignment vertical="top" wrapText="1"/>
    </xf>
    <xf numFmtId="167" fontId="36" fillId="0" borderId="0"/>
    <xf numFmtId="3" fontId="52" fillId="0" borderId="32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7" borderId="24" applyNumberFormat="0" applyAlignment="0" applyProtection="0"/>
    <xf numFmtId="0" fontId="27" fillId="0" borderId="0"/>
    <xf numFmtId="0" fontId="9" fillId="0" borderId="0"/>
    <xf numFmtId="0" fontId="9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44" fontId="2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44" fontId="21" fillId="0" borderId="0" applyFont="0" applyFill="0" applyBorder="0" applyAlignment="0" applyProtection="0"/>
    <xf numFmtId="165" fontId="21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4" fontId="2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4" fontId="2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4" fontId="2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4" fontId="2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4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4" fontId="2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4" fontId="2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4" fontId="2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4" fontId="21" fillId="0" borderId="0" applyFont="0" applyFill="0" applyBorder="0" applyAlignment="0" applyProtection="0"/>
    <xf numFmtId="0" fontId="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21" fillId="0" borderId="0">
      <alignment vertical="top"/>
    </xf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55" fillId="0" borderId="0"/>
    <xf numFmtId="9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56" fillId="0" borderId="0">
      <alignment vertical="center"/>
    </xf>
    <xf numFmtId="165" fontId="21" fillId="0" borderId="0">
      <alignment vertical="top"/>
    </xf>
    <xf numFmtId="165" fontId="21" fillId="0" borderId="0">
      <alignment vertical="top"/>
    </xf>
    <xf numFmtId="165" fontId="21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>
      <alignment vertical="top"/>
    </xf>
    <xf numFmtId="166" fontId="21" fillId="0" borderId="0" applyFont="0" applyFill="0" applyBorder="0" applyAlignment="0" applyProtection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6" fillId="0" borderId="0">
      <alignment vertical="center"/>
    </xf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5" fontId="21" fillId="0" borderId="0">
      <alignment vertical="top"/>
    </xf>
    <xf numFmtId="44" fontId="6" fillId="0" borderId="0" applyFont="0" applyFill="0" applyBorder="0" applyAlignment="0" applyProtection="0"/>
    <xf numFmtId="0" fontId="57" fillId="0" borderId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>
      <alignment vertical="center"/>
    </xf>
    <xf numFmtId="44" fontId="6" fillId="0" borderId="0" applyFont="0" applyFill="0" applyBorder="0" applyAlignment="0" applyProtection="0"/>
    <xf numFmtId="165" fontId="21" fillId="0" borderId="0">
      <alignment vertical="top"/>
    </xf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165" fontId="21" fillId="0" borderId="0">
      <alignment vertical="top"/>
    </xf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55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21" fillId="0" borderId="0">
      <alignment vertical="top"/>
    </xf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21" fillId="0" borderId="0">
      <alignment vertical="top"/>
    </xf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55" fillId="0" borderId="0" applyFont="0" applyFill="0" applyBorder="0" applyAlignment="0" applyProtection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21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21" fillId="0" borderId="0">
      <alignment vertical="top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4" fontId="2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55" fillId="0" borderId="0" applyFont="0" applyFill="0" applyBorder="0" applyAlignment="0" applyProtection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67">
    <xf numFmtId="165" fontId="0" fillId="0" borderId="0" xfId="0">
      <alignment vertical="top"/>
    </xf>
    <xf numFmtId="0" fontId="21" fillId="3" borderId="3" xfId="0" applyNumberFormat="1" applyFont="1" applyFill="1" applyBorder="1" applyAlignment="1">
      <alignment horizontal="center" vertical="center"/>
    </xf>
    <xf numFmtId="0" fontId="21" fillId="0" borderId="0" xfId="0" applyNumberFormat="1" applyFont="1" applyAlignment="1">
      <alignment vertical="center"/>
    </xf>
    <xf numFmtId="0" fontId="21" fillId="0" borderId="0" xfId="0" applyNumberFormat="1" applyFont="1" applyAlignment="1">
      <alignment horizontal="center" vertical="center"/>
    </xf>
    <xf numFmtId="0" fontId="21" fillId="0" borderId="15" xfId="0" applyNumberFormat="1" applyFont="1" applyBorder="1" applyAlignment="1">
      <alignment horizontal="center" vertical="center"/>
    </xf>
    <xf numFmtId="0" fontId="21" fillId="0" borderId="16" xfId="0" applyNumberFormat="1" applyFont="1" applyBorder="1" applyAlignment="1">
      <alignment horizontal="center" vertical="center"/>
    </xf>
    <xf numFmtId="0" fontId="21" fillId="0" borderId="0" xfId="0" applyNumberFormat="1" applyFont="1" applyAlignment="1">
      <alignment vertical="center" wrapText="1"/>
    </xf>
    <xf numFmtId="0" fontId="21" fillId="0" borderId="14" xfId="0" applyNumberFormat="1" applyFont="1" applyBorder="1" applyAlignment="1">
      <alignment horizontal="center" vertical="center"/>
    </xf>
    <xf numFmtId="0" fontId="21" fillId="4" borderId="8" xfId="0" applyNumberFormat="1" applyFont="1" applyFill="1" applyBorder="1" applyAlignment="1">
      <alignment horizontal="right" vertical="center"/>
    </xf>
    <xf numFmtId="0" fontId="21" fillId="4" borderId="7" xfId="0" applyNumberFormat="1" applyFont="1" applyFill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/>
    </xf>
    <xf numFmtId="165" fontId="21" fillId="0" borderId="1" xfId="0" applyFont="1" applyBorder="1" applyAlignment="1">
      <alignment horizontal="right" vertical="top"/>
    </xf>
    <xf numFmtId="165" fontId="21" fillId="5" borderId="1" xfId="0" applyFont="1" applyFill="1" applyBorder="1">
      <alignment vertical="top"/>
    </xf>
    <xf numFmtId="165" fontId="21" fillId="5" borderId="1" xfId="0" applyFont="1" applyFill="1" applyBorder="1" applyAlignment="1">
      <alignment vertical="top" wrapText="1"/>
    </xf>
    <xf numFmtId="165" fontId="13" fillId="0" borderId="1" xfId="0" applyFont="1" applyBorder="1" applyAlignment="1">
      <alignment horizontal="center" vertical="center" wrapText="1"/>
    </xf>
    <xf numFmtId="0" fontId="21" fillId="4" borderId="3" xfId="4" applyNumberFormat="1" applyFill="1" applyBorder="1" applyAlignment="1">
      <alignment horizontal="center" vertical="center"/>
    </xf>
    <xf numFmtId="165" fontId="11" fillId="0" borderId="1" xfId="0" applyFont="1" applyBorder="1" applyAlignment="1">
      <alignment horizontal="center" vertical="center" wrapText="1"/>
    </xf>
    <xf numFmtId="165" fontId="10" fillId="0" borderId="1" xfId="0" applyFont="1" applyBorder="1" applyAlignment="1">
      <alignment horizontal="center" vertical="center" wrapText="1"/>
    </xf>
    <xf numFmtId="0" fontId="21" fillId="6" borderId="0" xfId="0" applyNumberFormat="1" applyFont="1" applyFill="1" applyAlignment="1">
      <alignment vertical="center"/>
    </xf>
    <xf numFmtId="165" fontId="21" fillId="2" borderId="1" xfId="0" applyFont="1" applyFill="1" applyBorder="1" applyAlignment="1">
      <alignment vertical="center" wrapText="1"/>
    </xf>
    <xf numFmtId="165" fontId="0" fillId="0" borderId="0" xfId="0" applyAlignment="1">
      <alignment vertical="center" wrapText="1"/>
    </xf>
    <xf numFmtId="165" fontId="21" fillId="0" borderId="1" xfId="0" applyFont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20" fillId="0" borderId="1" xfId="0" applyNumberFormat="1" applyFont="1" applyBorder="1" applyAlignment="1">
      <alignment horizontal="center" vertical="center" wrapText="1"/>
    </xf>
    <xf numFmtId="0" fontId="21" fillId="6" borderId="0" xfId="0" applyNumberFormat="1" applyFont="1" applyFill="1" applyAlignment="1">
      <alignment horizontal="center" vertical="center"/>
    </xf>
    <xf numFmtId="0" fontId="21" fillId="6" borderId="0" xfId="0" applyNumberFormat="1" applyFont="1" applyFill="1" applyAlignment="1">
      <alignment horizontal="center" vertical="center" wrapText="1"/>
    </xf>
    <xf numFmtId="0" fontId="21" fillId="4" borderId="41" xfId="0" applyNumberFormat="1" applyFont="1" applyFill="1" applyBorder="1" applyAlignment="1">
      <alignment horizontal="right" vertical="center"/>
    </xf>
    <xf numFmtId="0" fontId="21" fillId="4" borderId="42" xfId="0" applyNumberFormat="1" applyFont="1" applyFill="1" applyBorder="1" applyAlignment="1">
      <alignment horizontal="center" vertical="center"/>
    </xf>
    <xf numFmtId="0" fontId="21" fillId="4" borderId="43" xfId="0" applyNumberFormat="1" applyFont="1" applyFill="1" applyBorder="1" applyAlignment="1">
      <alignment horizontal="right" vertical="center"/>
    </xf>
    <xf numFmtId="0" fontId="0" fillId="6" borderId="1" xfId="0" applyNumberFormat="1" applyFill="1" applyBorder="1" applyAlignment="1">
      <alignment horizontal="center" vertical="center" wrapText="1"/>
    </xf>
    <xf numFmtId="0" fontId="20" fillId="6" borderId="1" xfId="0" applyNumberFormat="1" applyFont="1" applyFill="1" applyBorder="1" applyAlignment="1">
      <alignment horizontal="center" vertical="center" wrapText="1"/>
    </xf>
    <xf numFmtId="165" fontId="17" fillId="0" borderId="1" xfId="0" applyFont="1" applyBorder="1" applyAlignment="1">
      <alignment horizontal="left" vertical="center" wrapText="1"/>
    </xf>
    <xf numFmtId="0" fontId="16" fillId="4" borderId="1" xfId="0" applyNumberFormat="1" applyFont="1" applyFill="1" applyBorder="1" applyAlignment="1">
      <alignment horizontal="left" vertical="center" wrapText="1"/>
    </xf>
    <xf numFmtId="165" fontId="17" fillId="8" borderId="1" xfId="0" applyFont="1" applyFill="1" applyBorder="1" applyAlignment="1">
      <alignment horizontal="left" vertical="center" wrapText="1"/>
    </xf>
    <xf numFmtId="0" fontId="16" fillId="5" borderId="1" xfId="0" applyNumberFormat="1" applyFont="1" applyFill="1" applyBorder="1" applyAlignment="1">
      <alignment horizontal="left" vertical="center" wrapText="1"/>
    </xf>
    <xf numFmtId="0" fontId="16" fillId="5" borderId="1" xfId="0" applyNumberFormat="1" applyFont="1" applyFill="1" applyBorder="1" applyAlignment="1" applyProtection="1">
      <alignment horizontal="left" vertical="center" wrapText="1"/>
      <protection locked="0"/>
    </xf>
    <xf numFmtId="0" fontId="16" fillId="16" borderId="1" xfId="0" applyNumberFormat="1" applyFont="1" applyFill="1" applyBorder="1" applyAlignment="1">
      <alignment horizontal="left" vertical="center" wrapText="1"/>
    </xf>
    <xf numFmtId="0" fontId="16" fillId="21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Alignment="1">
      <alignment vertical="center" wrapText="1"/>
    </xf>
    <xf numFmtId="0" fontId="22" fillId="0" borderId="23" xfId="0" applyNumberFormat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20" fillId="17" borderId="1" xfId="0" applyNumberFormat="1" applyFont="1" applyFill="1" applyBorder="1" applyAlignment="1">
      <alignment horizontal="center" vertical="center" wrapText="1"/>
    </xf>
    <xf numFmtId="0" fontId="20" fillId="18" borderId="1" xfId="0" applyNumberFormat="1" applyFont="1" applyFill="1" applyBorder="1" applyAlignment="1">
      <alignment horizontal="center" vertical="center" wrapText="1"/>
    </xf>
    <xf numFmtId="0" fontId="20" fillId="19" borderId="1" xfId="0" applyNumberFormat="1" applyFont="1" applyFill="1" applyBorder="1" applyAlignment="1">
      <alignment horizontal="center" vertical="center" wrapText="1"/>
    </xf>
    <xf numFmtId="0" fontId="20" fillId="20" borderId="1" xfId="0" applyNumberFormat="1" applyFont="1" applyFill="1" applyBorder="1" applyAlignment="1">
      <alignment horizontal="center" vertical="center" wrapText="1"/>
    </xf>
    <xf numFmtId="0" fontId="20" fillId="21" borderId="1" xfId="0" applyNumberFormat="1" applyFont="1" applyFill="1" applyBorder="1" applyAlignment="1">
      <alignment horizontal="center" vertical="center" wrapText="1"/>
    </xf>
    <xf numFmtId="0" fontId="20" fillId="22" borderId="1" xfId="0" applyNumberFormat="1" applyFont="1" applyFill="1" applyBorder="1" applyAlignment="1">
      <alignment horizontal="center" vertical="center" wrapText="1"/>
    </xf>
    <xf numFmtId="0" fontId="20" fillId="23" borderId="1" xfId="0" applyNumberFormat="1" applyFont="1" applyFill="1" applyBorder="1" applyAlignment="1">
      <alignment horizontal="center" vertical="center" wrapText="1"/>
    </xf>
    <xf numFmtId="0" fontId="20" fillId="16" borderId="1" xfId="0" applyNumberFormat="1" applyFont="1" applyFill="1" applyBorder="1" applyAlignment="1">
      <alignment horizontal="center" vertical="center" wrapText="1"/>
    </xf>
    <xf numFmtId="0" fontId="20" fillId="6" borderId="1" xfId="0" applyNumberFormat="1" applyFont="1" applyFill="1" applyBorder="1" applyAlignment="1" applyProtection="1">
      <alignment horizontal="center" vertical="center" wrapText="1"/>
      <protection locked="0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21" fillId="4" borderId="47" xfId="0" applyNumberFormat="1" applyFont="1" applyFill="1" applyBorder="1" applyAlignment="1">
      <alignment horizontal="right" vertical="center"/>
    </xf>
    <xf numFmtId="0" fontId="21" fillId="4" borderId="48" xfId="0" applyNumberFormat="1" applyFont="1" applyFill="1" applyBorder="1" applyAlignment="1">
      <alignment horizontal="center" vertical="center"/>
    </xf>
    <xf numFmtId="0" fontId="21" fillId="4" borderId="49" xfId="0" applyNumberFormat="1" applyFont="1" applyFill="1" applyBorder="1" applyAlignment="1">
      <alignment horizontal="right" vertical="center"/>
    </xf>
    <xf numFmtId="0" fontId="21" fillId="3" borderId="50" xfId="0" applyNumberFormat="1" applyFont="1" applyFill="1" applyBorder="1" applyAlignment="1">
      <alignment horizontal="center" vertical="center"/>
    </xf>
    <xf numFmtId="0" fontId="21" fillId="4" borderId="53" xfId="0" applyNumberFormat="1" applyFont="1" applyFill="1" applyBorder="1" applyAlignment="1">
      <alignment horizontal="right" vertical="center"/>
    </xf>
    <xf numFmtId="0" fontId="21" fillId="4" borderId="54" xfId="0" applyNumberFormat="1" applyFont="1" applyFill="1" applyBorder="1" applyAlignment="1">
      <alignment horizontal="center" vertical="center"/>
    </xf>
    <xf numFmtId="0" fontId="21" fillId="3" borderId="44" xfId="0" applyNumberFormat="1" applyFont="1" applyFill="1" applyBorder="1" applyAlignment="1">
      <alignment horizontal="center" vertical="center"/>
    </xf>
    <xf numFmtId="0" fontId="21" fillId="4" borderId="3" xfId="0" applyNumberFormat="1" applyFont="1" applyFill="1" applyBorder="1" applyAlignment="1">
      <alignment vertical="center"/>
    </xf>
    <xf numFmtId="0" fontId="22" fillId="0" borderId="0" xfId="0" applyNumberFormat="1" applyFont="1" applyAlignment="1">
      <alignment vertical="center" wrapText="1"/>
    </xf>
    <xf numFmtId="0" fontId="22" fillId="0" borderId="0" xfId="0" applyNumberFormat="1" applyFont="1" applyAlignment="1">
      <alignment vertical="center"/>
    </xf>
    <xf numFmtId="0" fontId="22" fillId="0" borderId="1" xfId="0" applyNumberFormat="1" applyFont="1" applyBorder="1" applyAlignment="1">
      <alignment horizontal="center" vertical="center"/>
    </xf>
    <xf numFmtId="0" fontId="16" fillId="4" borderId="2" xfId="0" applyNumberFormat="1" applyFont="1" applyFill="1" applyBorder="1" applyAlignment="1">
      <alignment horizontal="left" vertical="center" wrapText="1"/>
    </xf>
    <xf numFmtId="165" fontId="0" fillId="6" borderId="0" xfId="0" applyFill="1" applyAlignment="1">
      <alignment vertical="center" wrapText="1"/>
    </xf>
    <xf numFmtId="1" fontId="0" fillId="6" borderId="0" xfId="0" applyNumberFormat="1" applyFill="1" applyAlignment="1">
      <alignment vertical="center" wrapText="1"/>
    </xf>
    <xf numFmtId="0" fontId="24" fillId="25" borderId="1" xfId="2" applyFont="1" applyFill="1" applyBorder="1" applyAlignment="1">
      <alignment horizontal="left" vertical="center" wrapText="1" readingOrder="1"/>
    </xf>
    <xf numFmtId="1" fontId="0" fillId="6" borderId="1" xfId="0" applyNumberFormat="1" applyFill="1" applyBorder="1" applyAlignment="1">
      <alignment horizontal="center" vertical="center" wrapText="1"/>
    </xf>
    <xf numFmtId="165" fontId="0" fillId="6" borderId="1" xfId="0" applyFill="1" applyBorder="1" applyAlignment="1">
      <alignment vertical="center" wrapText="1"/>
    </xf>
    <xf numFmtId="165" fontId="21" fillId="6" borderId="1" xfId="0" applyFont="1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0" fontId="24" fillId="25" borderId="1" xfId="329" applyFont="1" applyFill="1" applyBorder="1" applyAlignment="1">
      <alignment horizontal="center" vertical="center" wrapText="1" readingOrder="1"/>
    </xf>
    <xf numFmtId="0" fontId="24" fillId="6" borderId="1" xfId="70" applyFont="1" applyFill="1" applyBorder="1" applyAlignment="1">
      <alignment vertical="center" wrapText="1" readingOrder="1"/>
    </xf>
    <xf numFmtId="165" fontId="24" fillId="6" borderId="1" xfId="4" applyFont="1" applyFill="1" applyBorder="1" applyAlignment="1">
      <alignment horizontal="left" vertical="center" wrapText="1" readingOrder="1"/>
    </xf>
    <xf numFmtId="165" fontId="53" fillId="6" borderId="1" xfId="0" applyFont="1" applyFill="1" applyBorder="1" applyAlignment="1">
      <alignment vertical="top" wrapText="1"/>
    </xf>
    <xf numFmtId="165" fontId="53" fillId="6" borderId="1" xfId="0" applyFont="1" applyFill="1" applyBorder="1" applyAlignment="1">
      <alignment vertical="center" wrapText="1"/>
    </xf>
    <xf numFmtId="165" fontId="25" fillId="6" borderId="1" xfId="0" applyFont="1" applyFill="1" applyBorder="1" applyAlignment="1">
      <alignment vertical="center" wrapText="1"/>
    </xf>
    <xf numFmtId="0" fontId="16" fillId="27" borderId="1" xfId="0" applyNumberFormat="1" applyFont="1" applyFill="1" applyBorder="1" applyAlignment="1">
      <alignment vertical="center" wrapText="1"/>
    </xf>
    <xf numFmtId="0" fontId="16" fillId="28" borderId="1" xfId="0" applyNumberFormat="1" applyFont="1" applyFill="1" applyBorder="1" applyAlignment="1">
      <alignment horizontal="center" vertical="center" wrapText="1"/>
    </xf>
    <xf numFmtId="0" fontId="16" fillId="3" borderId="1" xfId="0" applyNumberFormat="1" applyFont="1" applyFill="1" applyBorder="1" applyAlignment="1">
      <alignment horizontal="center" vertical="center" wrapText="1"/>
    </xf>
    <xf numFmtId="0" fontId="16" fillId="4" borderId="55" xfId="0" applyNumberFormat="1" applyFont="1" applyFill="1" applyBorder="1" applyAlignment="1">
      <alignment horizontal="left" vertical="center" wrapText="1"/>
    </xf>
    <xf numFmtId="165" fontId="17" fillId="0" borderId="21" xfId="0" applyFont="1" applyBorder="1" applyAlignment="1">
      <alignment vertical="center" wrapText="1"/>
    </xf>
    <xf numFmtId="0" fontId="21" fillId="4" borderId="4" xfId="0" applyNumberFormat="1" applyFont="1" applyFill="1" applyBorder="1" applyAlignment="1">
      <alignment horizontal="right" vertical="center"/>
    </xf>
    <xf numFmtId="0" fontId="21" fillId="4" borderId="3" xfId="0" applyNumberFormat="1" applyFont="1" applyFill="1" applyBorder="1" applyAlignment="1">
      <alignment horizontal="center" vertical="center"/>
    </xf>
    <xf numFmtId="0" fontId="59" fillId="0" borderId="0" xfId="0" applyNumberFormat="1" applyFont="1" applyAlignment="1">
      <alignment vertical="center"/>
    </xf>
    <xf numFmtId="0" fontId="62" fillId="0" borderId="0" xfId="0" applyNumberFormat="1" applyFont="1" applyAlignment="1">
      <alignment vertical="center"/>
    </xf>
    <xf numFmtId="0" fontId="63" fillId="0" borderId="0" xfId="0" applyNumberFormat="1" applyFont="1" applyAlignment="1">
      <alignment vertical="center"/>
    </xf>
    <xf numFmtId="165" fontId="17" fillId="0" borderId="1" xfId="0" applyFont="1" applyBorder="1" applyAlignment="1">
      <alignment vertical="center" wrapText="1"/>
    </xf>
    <xf numFmtId="0" fontId="22" fillId="0" borderId="1" xfId="2382" applyFont="1" applyBorder="1" applyAlignment="1">
      <alignment horizontal="left" vertical="center" wrapText="1"/>
    </xf>
    <xf numFmtId="165" fontId="17" fillId="21" borderId="1" xfId="0" applyFont="1" applyFill="1" applyBorder="1" applyAlignment="1">
      <alignment horizontal="left" vertical="center" wrapText="1"/>
    </xf>
    <xf numFmtId="0" fontId="24" fillId="29" borderId="1" xfId="2" applyFont="1" applyFill="1" applyBorder="1" applyAlignment="1">
      <alignment horizontal="left" vertical="center" wrapText="1" readingOrder="1"/>
    </xf>
    <xf numFmtId="10" fontId="16" fillId="28" borderId="1" xfId="0" applyNumberFormat="1" applyFont="1" applyFill="1" applyBorder="1" applyAlignment="1">
      <alignment horizontal="center" vertical="center" wrapText="1"/>
    </xf>
    <xf numFmtId="165" fontId="53" fillId="6" borderId="1" xfId="0" applyFont="1" applyFill="1" applyBorder="1" applyAlignment="1">
      <alignment horizontal="left" vertical="center" wrapText="1"/>
    </xf>
    <xf numFmtId="165" fontId="0" fillId="6" borderId="1" xfId="0" applyFill="1" applyBorder="1" applyAlignment="1">
      <alignment horizontal="left" vertical="center" wrapText="1"/>
    </xf>
    <xf numFmtId="0" fontId="24" fillId="29" borderId="1" xfId="2" applyFont="1" applyFill="1" applyBorder="1" applyAlignment="1">
      <alignment vertical="center" wrapText="1" readingOrder="1"/>
    </xf>
    <xf numFmtId="0" fontId="23" fillId="6" borderId="1" xfId="0" applyNumberFormat="1" applyFont="1" applyFill="1" applyBorder="1" applyAlignment="1">
      <alignment horizontal="left" vertical="center" wrapText="1"/>
    </xf>
    <xf numFmtId="0" fontId="24" fillId="25" borderId="1" xfId="2" applyFont="1" applyFill="1" applyBorder="1" applyAlignment="1">
      <alignment vertical="center" wrapText="1" readingOrder="1"/>
    </xf>
    <xf numFmtId="0" fontId="24" fillId="6" borderId="1" xfId="2" applyFont="1" applyFill="1" applyBorder="1" applyAlignment="1">
      <alignment vertical="center" wrapText="1" readingOrder="1"/>
    </xf>
    <xf numFmtId="165" fontId="53" fillId="6" borderId="1" xfId="0" applyFont="1" applyFill="1" applyBorder="1" applyAlignment="1">
      <alignment horizontal="left" vertical="top" wrapText="1"/>
    </xf>
    <xf numFmtId="0" fontId="24" fillId="6" borderId="1" xfId="329" applyFont="1" applyFill="1" applyBorder="1" applyAlignment="1">
      <alignment horizontal="left" vertical="center" wrapText="1" readingOrder="1"/>
    </xf>
    <xf numFmtId="3" fontId="0" fillId="6" borderId="1" xfId="0" applyNumberFormat="1" applyFill="1" applyBorder="1" applyAlignment="1">
      <alignment horizontal="left" vertical="center" wrapText="1"/>
    </xf>
    <xf numFmtId="165" fontId="0" fillId="6" borderId="0" xfId="0" applyFill="1" applyAlignment="1">
      <alignment horizontal="left" vertical="center" wrapText="1"/>
    </xf>
    <xf numFmtId="0" fontId="24" fillId="6" borderId="1" xfId="1" applyFont="1" applyFill="1" applyBorder="1" applyAlignment="1">
      <alignment horizontal="left" vertical="center" wrapText="1" readingOrder="1"/>
    </xf>
    <xf numFmtId="0" fontId="27" fillId="6" borderId="1" xfId="2381" applyFont="1" applyFill="1" applyBorder="1" applyAlignment="1">
      <alignment vertical="center"/>
    </xf>
    <xf numFmtId="165" fontId="54" fillId="26" borderId="1" xfId="0" applyFont="1" applyFill="1" applyBorder="1" applyAlignment="1">
      <alignment horizontal="left" vertical="center" wrapText="1"/>
    </xf>
    <xf numFmtId="0" fontId="24" fillId="25" borderId="1" xfId="208" applyFont="1" applyFill="1" applyBorder="1" applyAlignment="1">
      <alignment vertical="center" wrapText="1" readingOrder="1"/>
    </xf>
    <xf numFmtId="3" fontId="0" fillId="6" borderId="0" xfId="0" applyNumberFormat="1" applyFill="1" applyAlignment="1">
      <alignment horizontal="left" vertical="center" wrapText="1"/>
    </xf>
    <xf numFmtId="165" fontId="21" fillId="6" borderId="1" xfId="0" applyFont="1" applyFill="1" applyBorder="1" applyAlignment="1">
      <alignment horizontal="left" vertical="center" wrapText="1"/>
    </xf>
    <xf numFmtId="0" fontId="21" fillId="6" borderId="36" xfId="0" applyNumberFormat="1" applyFont="1" applyFill="1" applyBorder="1" applyAlignment="1">
      <alignment horizontal="center" vertical="center"/>
    </xf>
    <xf numFmtId="0" fontId="22" fillId="6" borderId="0" xfId="0" applyNumberFormat="1" applyFont="1" applyFill="1" applyAlignment="1">
      <alignment vertical="center"/>
    </xf>
    <xf numFmtId="0" fontId="21" fillId="6" borderId="34" xfId="0" applyNumberFormat="1" applyFont="1" applyFill="1" applyBorder="1" applyAlignment="1">
      <alignment vertical="center"/>
    </xf>
    <xf numFmtId="0" fontId="61" fillId="6" borderId="0" xfId="0" applyNumberFormat="1" applyFont="1" applyFill="1" applyAlignment="1">
      <alignment vertical="center"/>
    </xf>
    <xf numFmtId="0" fontId="22" fillId="6" borderId="36" xfId="0" applyNumberFormat="1" applyFont="1" applyFill="1" applyBorder="1" applyAlignment="1">
      <alignment horizontal="center" vertical="center"/>
    </xf>
    <xf numFmtId="0" fontId="21" fillId="6" borderId="14" xfId="0" applyNumberFormat="1" applyFont="1" applyFill="1" applyBorder="1" applyAlignment="1">
      <alignment vertical="center"/>
    </xf>
    <xf numFmtId="0" fontId="22" fillId="6" borderId="14" xfId="0" applyNumberFormat="1" applyFont="1" applyFill="1" applyBorder="1" applyAlignment="1">
      <alignment horizontal="center" vertical="center"/>
    </xf>
    <xf numFmtId="0" fontId="21" fillId="6" borderId="35" xfId="0" applyNumberFormat="1" applyFont="1" applyFill="1" applyBorder="1" applyAlignment="1">
      <alignment vertical="center"/>
    </xf>
    <xf numFmtId="0" fontId="21" fillId="6" borderId="14" xfId="0" applyNumberFormat="1" applyFont="1" applyFill="1" applyBorder="1" applyAlignment="1">
      <alignment horizontal="center" vertical="center"/>
    </xf>
    <xf numFmtId="0" fontId="21" fillId="6" borderId="34" xfId="0" applyNumberFormat="1" applyFont="1" applyFill="1" applyBorder="1" applyAlignment="1">
      <alignment horizontal="center" vertical="center"/>
    </xf>
    <xf numFmtId="0" fontId="22" fillId="6" borderId="0" xfId="0" applyNumberFormat="1" applyFont="1" applyFill="1" applyAlignment="1">
      <alignment vertical="center" wrapText="1"/>
    </xf>
    <xf numFmtId="0" fontId="22" fillId="6" borderId="0" xfId="0" applyNumberFormat="1" applyFont="1" applyFill="1" applyAlignment="1">
      <alignment horizontal="center" vertical="center"/>
    </xf>
    <xf numFmtId="0" fontId="59" fillId="6" borderId="0" xfId="0" applyNumberFormat="1" applyFont="1" applyFill="1" applyAlignment="1">
      <alignment vertical="center"/>
    </xf>
    <xf numFmtId="0" fontId="21" fillId="6" borderId="13" xfId="0" applyNumberFormat="1" applyFont="1" applyFill="1" applyBorder="1" applyAlignment="1">
      <alignment horizontal="center" vertical="center"/>
    </xf>
    <xf numFmtId="0" fontId="21" fillId="6" borderId="0" xfId="0" applyNumberFormat="1" applyFont="1" applyFill="1" applyAlignment="1">
      <alignment vertical="center" wrapText="1"/>
    </xf>
    <xf numFmtId="0" fontId="62" fillId="6" borderId="0" xfId="0" applyNumberFormat="1" applyFont="1" applyFill="1" applyAlignment="1">
      <alignment vertical="center"/>
    </xf>
    <xf numFmtId="1" fontId="21" fillId="6" borderId="0" xfId="0" applyNumberFormat="1" applyFont="1" applyFill="1" applyAlignment="1">
      <alignment vertical="center"/>
    </xf>
    <xf numFmtId="0" fontId="22" fillId="6" borderId="34" xfId="0" applyNumberFormat="1" applyFont="1" applyFill="1" applyBorder="1" applyAlignment="1">
      <alignment horizontal="center" vertical="center"/>
    </xf>
    <xf numFmtId="0" fontId="21" fillId="6" borderId="0" xfId="3" applyNumberFormat="1" applyFont="1" applyFill="1" applyAlignment="1">
      <alignment horizontal="center" vertical="center"/>
    </xf>
    <xf numFmtId="0" fontId="24" fillId="0" borderId="1" xfId="2388" applyFont="1" applyBorder="1" applyAlignment="1">
      <alignment vertical="center" wrapText="1" readingOrder="1"/>
    </xf>
    <xf numFmtId="0" fontId="16" fillId="24" borderId="1" xfId="908" applyNumberFormat="1" applyFont="1" applyFill="1" applyBorder="1" applyAlignment="1">
      <alignment horizontal="left" vertical="center" wrapText="1"/>
    </xf>
    <xf numFmtId="0" fontId="24" fillId="30" borderId="1" xfId="2" applyFont="1" applyFill="1" applyBorder="1" applyAlignment="1">
      <alignment horizontal="left" vertical="center" wrapText="1" readingOrder="1"/>
    </xf>
    <xf numFmtId="1" fontId="0" fillId="20" borderId="1" xfId="0" applyNumberFormat="1" applyFill="1" applyBorder="1" applyAlignment="1">
      <alignment horizontal="center" vertical="center" wrapText="1"/>
    </xf>
    <xf numFmtId="165" fontId="54" fillId="20" borderId="1" xfId="0" applyFont="1" applyFill="1" applyBorder="1" applyAlignment="1">
      <alignment horizontal="left" vertical="center" wrapText="1"/>
    </xf>
    <xf numFmtId="0" fontId="59" fillId="6" borderId="14" xfId="0" applyNumberFormat="1" applyFont="1" applyFill="1" applyBorder="1" applyAlignment="1">
      <alignment vertical="center"/>
    </xf>
    <xf numFmtId="0" fontId="24" fillId="31" borderId="1" xfId="2" applyFont="1" applyFill="1" applyBorder="1" applyAlignment="1">
      <alignment horizontal="left" vertical="center" wrapText="1" readingOrder="1"/>
    </xf>
    <xf numFmtId="1" fontId="0" fillId="32" borderId="1" xfId="0" applyNumberFormat="1" applyFill="1" applyBorder="1" applyAlignment="1">
      <alignment horizontal="center" vertical="center" wrapText="1"/>
    </xf>
    <xf numFmtId="165" fontId="54" fillId="32" borderId="1" xfId="0" applyFont="1" applyFill="1" applyBorder="1" applyAlignment="1">
      <alignment horizontal="left" vertical="center" wrapText="1"/>
    </xf>
    <xf numFmtId="0" fontId="21" fillId="6" borderId="66" xfId="0" applyNumberFormat="1" applyFont="1" applyFill="1" applyBorder="1" applyAlignment="1">
      <alignment horizontal="center" vertical="center"/>
    </xf>
    <xf numFmtId="169" fontId="16" fillId="28" borderId="1" xfId="0" applyNumberFormat="1" applyFont="1" applyFill="1" applyBorder="1" applyAlignment="1">
      <alignment horizontal="center" vertical="center" wrapText="1"/>
    </xf>
    <xf numFmtId="0" fontId="16" fillId="4" borderId="2" xfId="0" applyNumberFormat="1" applyFont="1" applyFill="1" applyBorder="1" applyAlignment="1">
      <alignment horizontal="center" vertical="center" wrapText="1"/>
    </xf>
    <xf numFmtId="165" fontId="0" fillId="0" borderId="2" xfId="0" applyBorder="1" applyAlignment="1">
      <alignment vertical="center" wrapText="1"/>
    </xf>
    <xf numFmtId="0" fontId="16" fillId="27" borderId="2" xfId="0" applyNumberFormat="1" applyFont="1" applyFill="1" applyBorder="1" applyAlignment="1">
      <alignment vertical="center" wrapText="1"/>
    </xf>
    <xf numFmtId="0" fontId="64" fillId="6" borderId="34" xfId="0" applyNumberFormat="1" applyFont="1" applyFill="1" applyBorder="1" applyAlignment="1">
      <alignment horizontal="center" vertical="center"/>
    </xf>
    <xf numFmtId="0" fontId="64" fillId="6" borderId="0" xfId="0" applyNumberFormat="1" applyFont="1" applyFill="1" applyAlignment="1">
      <alignment vertical="center"/>
    </xf>
    <xf numFmtId="3" fontId="21" fillId="0" borderId="1" xfId="0" applyNumberFormat="1" applyFont="1" applyBorder="1" applyAlignment="1">
      <alignment horizontal="center" vertical="center" wrapText="1"/>
    </xf>
    <xf numFmtId="0" fontId="21" fillId="6" borderId="67" xfId="0" applyNumberFormat="1" applyFont="1" applyFill="1" applyBorder="1" applyAlignment="1">
      <alignment horizontal="center" vertical="center"/>
    </xf>
    <xf numFmtId="0" fontId="21" fillId="6" borderId="68" xfId="0" applyNumberFormat="1" applyFont="1" applyFill="1" applyBorder="1" applyAlignment="1">
      <alignment vertical="center"/>
    </xf>
    <xf numFmtId="0" fontId="21" fillId="6" borderId="71" xfId="0" applyNumberFormat="1" applyFont="1" applyFill="1" applyBorder="1" applyAlignment="1">
      <alignment vertical="center"/>
    </xf>
    <xf numFmtId="0" fontId="21" fillId="6" borderId="74" xfId="0" applyNumberFormat="1" applyFont="1" applyFill="1" applyBorder="1" applyAlignment="1">
      <alignment horizontal="center" vertical="center"/>
    </xf>
    <xf numFmtId="0" fontId="21" fillId="4" borderId="75" xfId="0" applyNumberFormat="1" applyFont="1" applyFill="1" applyBorder="1" applyAlignment="1">
      <alignment horizontal="right" vertical="center"/>
    </xf>
    <xf numFmtId="0" fontId="21" fillId="4" borderId="77" xfId="0" applyNumberFormat="1" applyFont="1" applyFill="1" applyBorder="1" applyAlignment="1">
      <alignment horizontal="center" vertical="center"/>
    </xf>
    <xf numFmtId="0" fontId="21" fillId="6" borderId="76" xfId="0" applyNumberFormat="1" applyFont="1" applyFill="1" applyBorder="1" applyAlignment="1">
      <alignment horizontal="center" vertical="center"/>
    </xf>
    <xf numFmtId="0" fontId="21" fillId="6" borderId="78" xfId="0" applyNumberFormat="1" applyFont="1" applyFill="1" applyBorder="1" applyAlignment="1">
      <alignment vertical="center"/>
    </xf>
    <xf numFmtId="0" fontId="21" fillId="6" borderId="79" xfId="0" applyNumberFormat="1" applyFont="1" applyFill="1" applyBorder="1" applyAlignment="1">
      <alignment vertical="center"/>
    </xf>
    <xf numFmtId="0" fontId="21" fillId="6" borderId="74" xfId="0" applyNumberFormat="1" applyFont="1" applyFill="1" applyBorder="1" applyAlignment="1">
      <alignment vertical="center"/>
    </xf>
    <xf numFmtId="0" fontId="21" fillId="4" borderId="83" xfId="0" applyNumberFormat="1" applyFont="1" applyFill="1" applyBorder="1" applyAlignment="1">
      <alignment horizontal="center" vertical="center"/>
    </xf>
    <xf numFmtId="0" fontId="22" fillId="6" borderId="13" xfId="0" applyNumberFormat="1" applyFont="1" applyFill="1" applyBorder="1" applyAlignment="1">
      <alignment horizontal="center" vertical="center"/>
    </xf>
    <xf numFmtId="165" fontId="1" fillId="0" borderId="1" xfId="0" applyFont="1" applyBorder="1" applyAlignment="1">
      <alignment horizontal="center" vertical="center" wrapText="1"/>
    </xf>
    <xf numFmtId="0" fontId="64" fillId="6" borderId="36" xfId="0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left" vertical="center" wrapText="1"/>
    </xf>
    <xf numFmtId="1" fontId="17" fillId="0" borderId="2" xfId="0" applyNumberFormat="1" applyFont="1" applyBorder="1" applyAlignment="1">
      <alignment vertical="center" wrapText="1"/>
    </xf>
    <xf numFmtId="0" fontId="16" fillId="2" borderId="2" xfId="0" applyNumberFormat="1" applyFont="1" applyFill="1" applyBorder="1" applyAlignment="1">
      <alignment horizontal="center" vertical="center" wrapText="1"/>
    </xf>
    <xf numFmtId="165" fontId="21" fillId="0" borderId="2" xfId="0" applyFont="1" applyBorder="1" applyAlignment="1">
      <alignment vertical="center" wrapText="1"/>
    </xf>
    <xf numFmtId="0" fontId="16" fillId="21" borderId="2" xfId="0" applyNumberFormat="1" applyFont="1" applyFill="1" applyBorder="1" applyAlignment="1">
      <alignment horizontal="left" vertical="center" wrapText="1"/>
    </xf>
    <xf numFmtId="165" fontId="0" fillId="6" borderId="55" xfId="0" applyFill="1" applyBorder="1" applyAlignment="1">
      <alignment vertical="center" wrapText="1"/>
    </xf>
    <xf numFmtId="1" fontId="0" fillId="6" borderId="55" xfId="0" applyNumberFormat="1" applyFill="1" applyBorder="1" applyAlignment="1">
      <alignment vertical="center" wrapText="1"/>
    </xf>
    <xf numFmtId="165" fontId="0" fillId="6" borderId="55" xfId="0" applyFill="1" applyBorder="1" applyAlignment="1">
      <alignment horizontal="left" vertical="center" wrapText="1"/>
    </xf>
    <xf numFmtId="1" fontId="21" fillId="6" borderId="1" xfId="0" applyNumberFormat="1" applyFont="1" applyFill="1" applyBorder="1" applyAlignment="1">
      <alignment vertical="center" wrapText="1"/>
    </xf>
    <xf numFmtId="3" fontId="54" fillId="26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2" fillId="0" borderId="1" xfId="0" applyNumberFormat="1" applyFont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20" fillId="0" borderId="2" xfId="0" applyNumberFormat="1" applyFont="1" applyBorder="1" applyAlignment="1">
      <alignment horizontal="center" vertical="center" wrapText="1"/>
    </xf>
    <xf numFmtId="0" fontId="20" fillId="0" borderId="22" xfId="0" applyNumberFormat="1" applyFont="1" applyBorder="1" applyAlignment="1">
      <alignment horizontal="center" vertical="center" wrapText="1"/>
    </xf>
    <xf numFmtId="0" fontId="20" fillId="0" borderId="21" xfId="0" applyNumberFormat="1" applyFont="1" applyBorder="1" applyAlignment="1">
      <alignment horizontal="center" vertical="center" wrapText="1"/>
    </xf>
    <xf numFmtId="0" fontId="21" fillId="4" borderId="12" xfId="0" applyNumberFormat="1" applyFont="1" applyFill="1" applyBorder="1" applyAlignment="1">
      <alignment horizontal="center" vertical="center"/>
    </xf>
    <xf numFmtId="0" fontId="21" fillId="4" borderId="11" xfId="0" applyNumberFormat="1" applyFont="1" applyFill="1" applyBorder="1" applyAlignment="1">
      <alignment horizontal="center" vertical="center"/>
    </xf>
    <xf numFmtId="0" fontId="22" fillId="4" borderId="6" xfId="0" applyNumberFormat="1" applyFont="1" applyFill="1" applyBorder="1" applyAlignment="1">
      <alignment horizontal="center" vertical="center"/>
    </xf>
    <xf numFmtId="0" fontId="22" fillId="4" borderId="5" xfId="0" applyNumberFormat="1" applyFont="1" applyFill="1" applyBorder="1" applyAlignment="1">
      <alignment horizontal="center" vertical="center"/>
    </xf>
    <xf numFmtId="0" fontId="21" fillId="4" borderId="4" xfId="0" applyNumberFormat="1" applyFont="1" applyFill="1" applyBorder="1" applyAlignment="1">
      <alignment horizontal="center" vertical="center"/>
    </xf>
    <xf numFmtId="0" fontId="21" fillId="4" borderId="3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>
      <alignment horizontal="center" vertical="center"/>
    </xf>
    <xf numFmtId="0" fontId="21" fillId="4" borderId="9" xfId="0" applyNumberFormat="1" applyFont="1" applyFill="1" applyBorder="1" applyAlignment="1">
      <alignment horizontal="center" vertical="center"/>
    </xf>
    <xf numFmtId="0" fontId="60" fillId="4" borderId="6" xfId="0" applyNumberFormat="1" applyFont="1" applyFill="1" applyBorder="1" applyAlignment="1">
      <alignment horizontal="center" vertical="center" wrapText="1"/>
    </xf>
    <xf numFmtId="0" fontId="60" fillId="4" borderId="5" xfId="0" applyNumberFormat="1" applyFont="1" applyFill="1" applyBorder="1" applyAlignment="1">
      <alignment horizontal="center" vertical="center" wrapText="1"/>
    </xf>
    <xf numFmtId="0" fontId="21" fillId="4" borderId="20" xfId="0" applyNumberFormat="1" applyFont="1" applyFill="1" applyBorder="1" applyAlignment="1">
      <alignment horizontal="center" vertical="center"/>
    </xf>
    <xf numFmtId="0" fontId="21" fillId="4" borderId="19" xfId="0" applyNumberFormat="1" applyFont="1" applyFill="1" applyBorder="1" applyAlignment="1">
      <alignment horizontal="center" vertical="center"/>
    </xf>
    <xf numFmtId="0" fontId="22" fillId="4" borderId="8" xfId="0" applyNumberFormat="1" applyFont="1" applyFill="1" applyBorder="1" applyAlignment="1">
      <alignment horizontal="center" vertical="center"/>
    </xf>
    <xf numFmtId="0" fontId="22" fillId="4" borderId="2" xfId="0" applyNumberFormat="1" applyFont="1" applyFill="1" applyBorder="1" applyAlignment="1">
      <alignment horizontal="center" vertical="center"/>
    </xf>
    <xf numFmtId="0" fontId="23" fillId="4" borderId="8" xfId="0" applyNumberFormat="1" applyFont="1" applyFill="1" applyBorder="1" applyAlignment="1">
      <alignment horizontal="center" vertical="center" wrapText="1"/>
    </xf>
    <xf numFmtId="0" fontId="23" fillId="4" borderId="2" xfId="0" applyNumberFormat="1" applyFont="1" applyFill="1" applyBorder="1" applyAlignment="1">
      <alignment horizontal="center" vertical="center" wrapText="1"/>
    </xf>
    <xf numFmtId="0" fontId="22" fillId="4" borderId="7" xfId="0" applyNumberFormat="1" applyFont="1" applyFill="1" applyBorder="1" applyAlignment="1">
      <alignment horizontal="center" vertical="center"/>
    </xf>
    <xf numFmtId="0" fontId="23" fillId="4" borderId="7" xfId="0" applyNumberFormat="1" applyFont="1" applyFill="1" applyBorder="1" applyAlignment="1">
      <alignment horizontal="center" vertical="center" wrapText="1"/>
    </xf>
    <xf numFmtId="1" fontId="22" fillId="4" borderId="8" xfId="4" applyNumberFormat="1" applyFont="1" applyFill="1" applyBorder="1" applyAlignment="1">
      <alignment horizontal="center" vertical="center"/>
    </xf>
    <xf numFmtId="1" fontId="22" fillId="4" borderId="1" xfId="4" applyNumberFormat="1" applyFont="1" applyFill="1" applyBorder="1" applyAlignment="1">
      <alignment horizontal="center" vertical="center"/>
    </xf>
    <xf numFmtId="1" fontId="22" fillId="4" borderId="7" xfId="4" applyNumberFormat="1" applyFont="1" applyFill="1" applyBorder="1" applyAlignment="1">
      <alignment horizontal="center" vertical="center"/>
    </xf>
    <xf numFmtId="0" fontId="23" fillId="4" borderId="8" xfId="4" applyNumberFormat="1" applyFont="1" applyFill="1" applyBorder="1" applyAlignment="1">
      <alignment horizontal="center" vertical="center" wrapText="1"/>
    </xf>
    <xf numFmtId="0" fontId="23" fillId="4" borderId="1" xfId="4" applyNumberFormat="1" applyFont="1" applyFill="1" applyBorder="1" applyAlignment="1">
      <alignment horizontal="center" vertical="center" wrapText="1"/>
    </xf>
    <xf numFmtId="0" fontId="23" fillId="4" borderId="7" xfId="4" applyNumberFormat="1" applyFont="1" applyFill="1" applyBorder="1" applyAlignment="1">
      <alignment horizontal="center" vertical="center" wrapText="1"/>
    </xf>
    <xf numFmtId="0" fontId="21" fillId="4" borderId="4" xfId="4" applyNumberFormat="1" applyFill="1" applyBorder="1" applyAlignment="1">
      <alignment horizontal="right" vertical="center"/>
    </xf>
    <xf numFmtId="0" fontId="21" fillId="4" borderId="27" xfId="4" applyNumberFormat="1" applyFill="1" applyBorder="1" applyAlignment="1">
      <alignment horizontal="right" vertical="center"/>
    </xf>
    <xf numFmtId="0" fontId="22" fillId="4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>
      <alignment horizontal="center" vertical="center" wrapText="1"/>
    </xf>
    <xf numFmtId="1" fontId="21" fillId="4" borderId="10" xfId="0" applyNumberFormat="1" applyFont="1" applyFill="1" applyBorder="1" applyAlignment="1">
      <alignment horizontal="center" vertical="center"/>
    </xf>
    <xf numFmtId="1" fontId="21" fillId="4" borderId="33" xfId="0" applyNumberFormat="1" applyFont="1" applyFill="1" applyBorder="1" applyAlignment="1">
      <alignment horizontal="center" vertical="center"/>
    </xf>
    <xf numFmtId="1" fontId="21" fillId="4" borderId="9" xfId="0" applyNumberFormat="1" applyFont="1" applyFill="1" applyBorder="1" applyAlignment="1">
      <alignment horizontal="center" vertical="center"/>
    </xf>
    <xf numFmtId="0" fontId="21" fillId="4" borderId="4" xfId="0" applyNumberFormat="1" applyFont="1" applyFill="1" applyBorder="1" applyAlignment="1">
      <alignment horizontal="right" vertical="center"/>
    </xf>
    <xf numFmtId="0" fontId="21" fillId="4" borderId="27" xfId="0" applyNumberFormat="1" applyFont="1" applyFill="1" applyBorder="1" applyAlignment="1">
      <alignment horizontal="right" vertical="center"/>
    </xf>
    <xf numFmtId="0" fontId="21" fillId="4" borderId="61" xfId="0" applyNumberFormat="1" applyFont="1" applyFill="1" applyBorder="1" applyAlignment="1">
      <alignment horizontal="right" vertical="center"/>
    </xf>
    <xf numFmtId="1" fontId="21" fillId="4" borderId="63" xfId="0" applyNumberFormat="1" applyFont="1" applyFill="1" applyBorder="1" applyAlignment="1">
      <alignment horizontal="center" vertical="center"/>
    </xf>
    <xf numFmtId="1" fontId="21" fillId="4" borderId="60" xfId="0" applyNumberFormat="1" applyFont="1" applyFill="1" applyBorder="1" applyAlignment="1">
      <alignment horizontal="center" vertical="center"/>
    </xf>
    <xf numFmtId="0" fontId="21" fillId="4" borderId="8" xfId="0" applyNumberFormat="1" applyFont="1" applyFill="1" applyBorder="1" applyAlignment="1">
      <alignment horizontal="center" vertical="center" wrapText="1"/>
    </xf>
    <xf numFmtId="0" fontId="21" fillId="4" borderId="1" xfId="0" applyNumberFormat="1" applyFont="1" applyFill="1" applyBorder="1" applyAlignment="1">
      <alignment horizontal="center" vertical="center" wrapText="1"/>
    </xf>
    <xf numFmtId="0" fontId="21" fillId="4" borderId="2" xfId="0" applyNumberFormat="1" applyFont="1" applyFill="1" applyBorder="1" applyAlignment="1">
      <alignment horizontal="center" vertical="center" wrapText="1"/>
    </xf>
    <xf numFmtId="0" fontId="21" fillId="4" borderId="7" xfId="0" applyNumberFormat="1" applyFont="1" applyFill="1" applyBorder="1" applyAlignment="1">
      <alignment horizontal="center" vertical="center" wrapText="1"/>
    </xf>
    <xf numFmtId="0" fontId="21" fillId="4" borderId="18" xfId="0" applyNumberFormat="1" applyFont="1" applyFill="1" applyBorder="1" applyAlignment="1">
      <alignment horizontal="right" vertical="center"/>
    </xf>
    <xf numFmtId="0" fontId="21" fillId="4" borderId="59" xfId="0" applyNumberFormat="1" applyFont="1" applyFill="1" applyBorder="1" applyAlignment="1">
      <alignment horizontal="right" vertical="center"/>
    </xf>
    <xf numFmtId="0" fontId="21" fillId="4" borderId="33" xfId="0" applyNumberFormat="1" applyFont="1" applyFill="1" applyBorder="1" applyAlignment="1">
      <alignment horizontal="center" vertical="center"/>
    </xf>
    <xf numFmtId="0" fontId="21" fillId="4" borderId="60" xfId="0" applyNumberFormat="1" applyFont="1" applyFill="1" applyBorder="1" applyAlignment="1">
      <alignment horizontal="center" vertical="center"/>
    </xf>
    <xf numFmtId="0" fontId="60" fillId="4" borderId="73" xfId="0" applyNumberFormat="1" applyFont="1" applyFill="1" applyBorder="1" applyAlignment="1">
      <alignment horizontal="center" vertical="center" wrapText="1"/>
    </xf>
    <xf numFmtId="0" fontId="60" fillId="4" borderId="82" xfId="0" applyNumberFormat="1" applyFont="1" applyFill="1" applyBorder="1" applyAlignment="1">
      <alignment horizontal="center" vertical="center" wrapText="1"/>
    </xf>
    <xf numFmtId="0" fontId="60" fillId="4" borderId="2" xfId="0" applyNumberFormat="1" applyFont="1" applyFill="1" applyBorder="1" applyAlignment="1">
      <alignment horizontal="center" vertical="center" wrapText="1"/>
    </xf>
    <xf numFmtId="0" fontId="21" fillId="4" borderId="73" xfId="0" applyNumberFormat="1" applyFont="1" applyFill="1" applyBorder="1" applyAlignment="1">
      <alignment horizontal="center" vertical="center"/>
    </xf>
    <xf numFmtId="0" fontId="21" fillId="4" borderId="82" xfId="0" applyNumberFormat="1" applyFont="1" applyFill="1" applyBorder="1" applyAlignment="1">
      <alignment horizontal="center" vertical="center"/>
    </xf>
    <xf numFmtId="0" fontId="21" fillId="4" borderId="39" xfId="0" applyNumberFormat="1" applyFont="1" applyFill="1" applyBorder="1" applyAlignment="1">
      <alignment horizontal="center" vertical="center" wrapText="1"/>
    </xf>
    <xf numFmtId="0" fontId="21" fillId="4" borderId="40" xfId="0" applyNumberFormat="1" applyFont="1" applyFill="1" applyBorder="1" applyAlignment="1">
      <alignment horizontal="center" vertical="center" wrapText="1"/>
    </xf>
    <xf numFmtId="0" fontId="21" fillId="6" borderId="12" xfId="0" applyNumberFormat="1" applyFont="1" applyFill="1" applyBorder="1" applyAlignment="1">
      <alignment horizontal="center" vertical="center"/>
    </xf>
    <xf numFmtId="0" fontId="21" fillId="6" borderId="62" xfId="0" applyNumberFormat="1" applyFont="1" applyFill="1" applyBorder="1" applyAlignment="1">
      <alignment horizontal="center" vertical="center"/>
    </xf>
    <xf numFmtId="0" fontId="21" fillId="6" borderId="11" xfId="0" applyNumberFormat="1" applyFont="1" applyFill="1" applyBorder="1" applyAlignment="1">
      <alignment horizontal="center" vertical="center"/>
    </xf>
    <xf numFmtId="1" fontId="21" fillId="4" borderId="57" xfId="0" applyNumberFormat="1" applyFont="1" applyFill="1" applyBorder="1" applyAlignment="1">
      <alignment horizontal="center" vertical="center"/>
    </xf>
    <xf numFmtId="1" fontId="21" fillId="4" borderId="26" xfId="0" applyNumberFormat="1" applyFont="1" applyFill="1" applyBorder="1" applyAlignment="1">
      <alignment horizontal="center" vertical="center"/>
    </xf>
    <xf numFmtId="1" fontId="21" fillId="4" borderId="56" xfId="0" applyNumberFormat="1" applyFont="1" applyFill="1" applyBorder="1" applyAlignment="1">
      <alignment horizontal="center" vertical="center"/>
    </xf>
    <xf numFmtId="1" fontId="21" fillId="4" borderId="58" xfId="0" applyNumberFormat="1" applyFont="1" applyFill="1" applyBorder="1" applyAlignment="1">
      <alignment horizontal="center" vertical="center"/>
    </xf>
    <xf numFmtId="0" fontId="21" fillId="4" borderId="8" xfId="0" applyNumberFormat="1" applyFont="1" applyFill="1" applyBorder="1" applyAlignment="1">
      <alignment horizontal="center" vertical="center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7" xfId="0" applyNumberFormat="1" applyFont="1" applyFill="1" applyBorder="1" applyAlignment="1">
      <alignment horizontal="center" vertical="center"/>
    </xf>
    <xf numFmtId="1" fontId="21" fillId="4" borderId="8" xfId="0" applyNumberFormat="1" applyFont="1" applyFill="1" applyBorder="1" applyAlignment="1">
      <alignment horizontal="center" vertical="center"/>
    </xf>
    <xf numFmtId="1" fontId="21" fillId="4" borderId="1" xfId="0" applyNumberFormat="1" applyFont="1" applyFill="1" applyBorder="1" applyAlignment="1">
      <alignment horizontal="center" vertical="center"/>
    </xf>
    <xf numFmtId="1" fontId="21" fillId="4" borderId="7" xfId="0" applyNumberFormat="1" applyFont="1" applyFill="1" applyBorder="1" applyAlignment="1">
      <alignment horizontal="center" vertical="center"/>
    </xf>
    <xf numFmtId="1" fontId="21" fillId="4" borderId="4" xfId="0" applyNumberFormat="1" applyFont="1" applyFill="1" applyBorder="1" applyAlignment="1">
      <alignment horizontal="center" vertical="center"/>
    </xf>
    <xf numFmtId="1" fontId="21" fillId="4" borderId="27" xfId="0" applyNumberFormat="1" applyFont="1" applyFill="1" applyBorder="1" applyAlignment="1">
      <alignment horizontal="center" vertical="center"/>
    </xf>
    <xf numFmtId="1" fontId="21" fillId="4" borderId="3" xfId="0" applyNumberFormat="1" applyFont="1" applyFill="1" applyBorder="1" applyAlignment="1">
      <alignment horizontal="center" vertical="center"/>
    </xf>
    <xf numFmtId="1" fontId="21" fillId="6" borderId="0" xfId="0" applyNumberFormat="1" applyFont="1" applyFill="1" applyAlignment="1">
      <alignment horizontal="center" vertical="center"/>
    </xf>
    <xf numFmtId="1" fontId="21" fillId="4" borderId="37" xfId="0" applyNumberFormat="1" applyFont="1" applyFill="1" applyBorder="1" applyAlignment="1">
      <alignment horizontal="center" vertical="center"/>
    </xf>
    <xf numFmtId="1" fontId="21" fillId="4" borderId="38" xfId="0" applyNumberFormat="1" applyFont="1" applyFill="1" applyBorder="1" applyAlignment="1">
      <alignment horizontal="center" vertical="center"/>
    </xf>
    <xf numFmtId="1" fontId="22" fillId="4" borderId="64" xfId="0" applyNumberFormat="1" applyFont="1" applyFill="1" applyBorder="1" applyAlignment="1">
      <alignment horizontal="center" vertical="center"/>
    </xf>
    <xf numFmtId="1" fontId="22" fillId="4" borderId="65" xfId="0" applyNumberFormat="1" applyFont="1" applyFill="1" applyBorder="1" applyAlignment="1">
      <alignment horizontal="center" vertical="center"/>
    </xf>
    <xf numFmtId="0" fontId="21" fillId="4" borderId="69" xfId="0" applyNumberFormat="1" applyFont="1" applyFill="1" applyBorder="1" applyAlignment="1">
      <alignment horizontal="center" vertical="center"/>
    </xf>
    <xf numFmtId="0" fontId="21" fillId="4" borderId="70" xfId="0" applyNumberFormat="1" applyFont="1" applyFill="1" applyBorder="1" applyAlignment="1">
      <alignment horizontal="center" vertical="center"/>
    </xf>
    <xf numFmtId="0" fontId="21" fillId="4" borderId="72" xfId="0" applyNumberFormat="1" applyFont="1" applyFill="1" applyBorder="1" applyAlignment="1">
      <alignment horizontal="center" vertical="center"/>
    </xf>
    <xf numFmtId="0" fontId="60" fillId="4" borderId="8" xfId="0" applyNumberFormat="1" applyFont="1" applyFill="1" applyBorder="1" applyAlignment="1">
      <alignment horizontal="center" vertical="center" wrapText="1"/>
    </xf>
    <xf numFmtId="0" fontId="60" fillId="4" borderId="7" xfId="0" applyNumberFormat="1" applyFont="1" applyFill="1" applyBorder="1" applyAlignment="1">
      <alignment horizontal="center" vertical="center" wrapText="1"/>
    </xf>
    <xf numFmtId="0" fontId="21" fillId="4" borderId="51" xfId="0" applyNumberFormat="1" applyFont="1" applyFill="1" applyBorder="1" applyAlignment="1">
      <alignment horizontal="center" vertical="center"/>
    </xf>
    <xf numFmtId="0" fontId="21" fillId="4" borderId="52" xfId="0" applyNumberFormat="1" applyFont="1" applyFill="1" applyBorder="1" applyAlignment="1">
      <alignment horizontal="center" vertical="center"/>
    </xf>
    <xf numFmtId="0" fontId="21" fillId="4" borderId="80" xfId="0" applyNumberFormat="1" applyFont="1" applyFill="1" applyBorder="1" applyAlignment="1">
      <alignment horizontal="center" vertical="center"/>
    </xf>
    <xf numFmtId="0" fontId="21" fillId="4" borderId="81" xfId="0" applyNumberFormat="1" applyFont="1" applyFill="1" applyBorder="1" applyAlignment="1">
      <alignment horizontal="center" vertical="center"/>
    </xf>
    <xf numFmtId="0" fontId="21" fillId="4" borderId="18" xfId="0" applyNumberFormat="1" applyFont="1" applyFill="1" applyBorder="1" applyAlignment="1">
      <alignment horizontal="center" vertical="center"/>
    </xf>
    <xf numFmtId="0" fontId="21" fillId="4" borderId="17" xfId="0" applyNumberFormat="1" applyFont="1" applyFill="1" applyBorder="1" applyAlignment="1">
      <alignment horizontal="center" vertical="center"/>
    </xf>
    <xf numFmtId="0" fontId="21" fillId="4" borderId="6" xfId="0" applyNumberFormat="1" applyFont="1" applyFill="1" applyBorder="1" applyAlignment="1">
      <alignment horizontal="center" vertical="center"/>
    </xf>
    <xf numFmtId="0" fontId="21" fillId="4" borderId="5" xfId="0" applyNumberFormat="1" applyFont="1" applyFill="1" applyBorder="1" applyAlignment="1">
      <alignment horizontal="center" vertical="center"/>
    </xf>
    <xf numFmtId="3" fontId="21" fillId="4" borderId="45" xfId="0" applyNumberFormat="1" applyFont="1" applyFill="1" applyBorder="1" applyAlignment="1">
      <alignment horizontal="center" vertical="center"/>
    </xf>
    <xf numFmtId="0" fontId="21" fillId="4" borderId="46" xfId="0" applyNumberFormat="1" applyFont="1" applyFill="1" applyBorder="1" applyAlignment="1">
      <alignment horizontal="center" vertical="center"/>
    </xf>
    <xf numFmtId="0" fontId="21" fillId="4" borderId="22" xfId="0" applyNumberFormat="1" applyFont="1" applyFill="1" applyBorder="1" applyAlignment="1">
      <alignment horizontal="center" vertical="center" wrapText="1"/>
    </xf>
    <xf numFmtId="0" fontId="21" fillId="4" borderId="5" xfId="0" applyNumberFormat="1" applyFont="1" applyFill="1" applyBorder="1" applyAlignment="1">
      <alignment horizontal="center" vertical="center" wrapText="1"/>
    </xf>
    <xf numFmtId="0" fontId="21" fillId="4" borderId="6" xfId="0" applyNumberFormat="1" applyFont="1" applyFill="1" applyBorder="1" applyAlignment="1">
      <alignment horizontal="center" vertical="center" wrapText="1"/>
    </xf>
    <xf numFmtId="0" fontId="21" fillId="4" borderId="21" xfId="0" applyNumberFormat="1" applyFont="1" applyFill="1" applyBorder="1" applyAlignment="1">
      <alignment horizontal="center" vertical="center" wrapText="1"/>
    </xf>
  </cellXfs>
  <cellStyles count="6069">
    <cellStyle name="_Doc_page" xfId="17" xr:uid="{00000000-0005-0000-0000-000000000000}"/>
    <cellStyle name="_Q34242 SIBNEFT-ONPZ AVT-10 rev5b" xfId="18" xr:uid="{00000000-0005-0000-0000-000001000000}"/>
    <cellStyle name="_Q35082 TATNEFT_PAOM_Rev2_HART" xfId="19" xr:uid="{00000000-0005-0000-0000-000002000000}"/>
    <cellStyle name="_Q35706 UKL rev0" xfId="20" xr:uid="{00000000-0005-0000-0000-000003000000}"/>
    <cellStyle name="_Q36015_Sterlitamak_H-1b_rev0_with HIMA" xfId="21" xr:uid="{00000000-0005-0000-0000-000004000000}"/>
    <cellStyle name="_Q36033_SCADA_rev5" xfId="22" xr:uid="{00000000-0005-0000-0000-000005000000}"/>
    <cellStyle name="_Q36XXX West-Ozer rev0" xfId="23" xr:uid="{00000000-0005-0000-0000-000006000000}"/>
    <cellStyle name="_Q45764_rm" xfId="24" xr:uid="{00000000-0005-0000-0000-000007000000}"/>
    <cellStyle name="_Q49xxx_FCD949_Short" xfId="25" xr:uid="{00000000-0005-0000-0000-000008000000}"/>
    <cellStyle name="_QJapan_tx2" xfId="26" xr:uid="{00000000-0005-0000-0000-000009000000}"/>
    <cellStyle name="CALCULATED" xfId="27" xr:uid="{00000000-0005-0000-0000-00000A000000}"/>
    <cellStyle name="chapter" xfId="28" xr:uid="{00000000-0005-0000-0000-00000C000000}"/>
    <cellStyle name="Chapter Heading" xfId="29" xr:uid="{00000000-0005-0000-0000-00000D000000}"/>
    <cellStyle name="dont_touch_me" xfId="31" xr:uid="{00000000-0005-0000-0000-00000F000000}"/>
    <cellStyle name="GESPERRT" xfId="32" xr:uid="{00000000-0005-0000-0000-000011000000}"/>
    <cellStyle name="GrandTotal" xfId="33" xr:uid="{00000000-0005-0000-0000-000012000000}"/>
    <cellStyle name="HIDDEN" xfId="37" xr:uid="{00000000-0005-0000-0000-000013000000}"/>
    <cellStyle name="highlight" xfId="38" xr:uid="{00000000-0005-0000-0000-000014000000}"/>
    <cellStyle name="INPUT" xfId="40" xr:uid="{00000000-0005-0000-0000-000016000000}"/>
    <cellStyle name="Input 2" xfId="67" xr:uid="{00000000-0005-0000-0000-000017000000}"/>
    <cellStyle name="item" xfId="41" xr:uid="{00000000-0005-0000-0000-000018000000}"/>
    <cellStyle name="kapiteltotal" xfId="42" xr:uid="{00000000-0005-0000-0000-000019000000}"/>
    <cellStyle name="NON" xfId="43" xr:uid="{00000000-0005-0000-0000-00001C000000}"/>
    <cellStyle name="Normal 1" xfId="44" xr:uid="{00000000-0005-0000-0000-00001E000000}"/>
    <cellStyle name="Normal 2" xfId="11" xr:uid="{00000000-0005-0000-0000-00001F000000}"/>
    <cellStyle name="Normal 3" xfId="12" xr:uid="{00000000-0005-0000-0000-000020000000}"/>
    <cellStyle name="Normal 3 10" xfId="939" xr:uid="{00000000-0005-0000-0000-000020000000}"/>
    <cellStyle name="Normal 3 10 2" xfId="2641" xr:uid="{00000000-0005-0000-0000-000020000000}"/>
    <cellStyle name="Normal 3 10 2 2" xfId="5635" xr:uid="{00000000-0005-0000-0000-000020000000}"/>
    <cellStyle name="Normal 3 10 3" xfId="3934" xr:uid="{00000000-0005-0000-0000-000020000000}"/>
    <cellStyle name="Normal 3 11" xfId="1250" xr:uid="{00000000-0005-0000-0000-000020000000}"/>
    <cellStyle name="Normal 3 11 2" xfId="4245" xr:uid="{00000000-0005-0000-0000-000020000000}"/>
    <cellStyle name="Normal 3 12" xfId="446" xr:uid="{00000000-0005-0000-0000-000020000000}"/>
    <cellStyle name="Normal 3 12 2" xfId="3453" xr:uid="{00000000-0005-0000-0000-000020000000}"/>
    <cellStyle name="Normal 3 13" xfId="2383" xr:uid="{00000000-0005-0000-0000-000020000000}"/>
    <cellStyle name="Normal 3 13 2" xfId="5377" xr:uid="{00000000-0005-0000-0000-000020000000}"/>
    <cellStyle name="Normal 3 14" xfId="3081" xr:uid="{00000000-0005-0000-0000-000020000000}"/>
    <cellStyle name="Normal 3 2" xfId="14" xr:uid="{00000000-0005-0000-0000-000021000000}"/>
    <cellStyle name="Normal 3 2 10" xfId="1252" xr:uid="{00000000-0005-0000-0000-000021000000}"/>
    <cellStyle name="Normal 3 2 10 2" xfId="4247" xr:uid="{00000000-0005-0000-0000-000021000000}"/>
    <cellStyle name="Normal 3 2 11" xfId="448" xr:uid="{00000000-0005-0000-0000-000021000000}"/>
    <cellStyle name="Normal 3 2 11 2" xfId="3455" xr:uid="{00000000-0005-0000-0000-000021000000}"/>
    <cellStyle name="Normal 3 2 12" xfId="2385" xr:uid="{00000000-0005-0000-0000-000021000000}"/>
    <cellStyle name="Normal 3 2 12 2" xfId="5379" xr:uid="{00000000-0005-0000-0000-000021000000}"/>
    <cellStyle name="Normal 3 2 13" xfId="3083" xr:uid="{00000000-0005-0000-0000-000021000000}"/>
    <cellStyle name="Normal 3 2 2" xfId="61" xr:uid="{00000000-0005-0000-0000-000022000000}"/>
    <cellStyle name="Normal 3 2 2 10" xfId="458" xr:uid="{00000000-0005-0000-0000-000022000000}"/>
    <cellStyle name="Normal 3 2 2 10 2" xfId="3462" xr:uid="{00000000-0005-0000-0000-000022000000}"/>
    <cellStyle name="Normal 3 2 2 11" xfId="2392" xr:uid="{00000000-0005-0000-0000-000022000000}"/>
    <cellStyle name="Normal 3 2 2 11 2" xfId="5386" xr:uid="{00000000-0005-0000-0000-000022000000}"/>
    <cellStyle name="Normal 3 2 2 12" xfId="3090" xr:uid="{00000000-0005-0000-0000-000022000000}"/>
    <cellStyle name="Normal 3 2 2 2" xfId="101" xr:uid="{00000000-0005-0000-0000-000022000000}"/>
    <cellStyle name="Normal 3 2 2 2 2" xfId="177" xr:uid="{00000000-0005-0000-0000-000022000000}"/>
    <cellStyle name="Normal 3 2 2 2 2 2" xfId="322" xr:uid="{00000000-0005-0000-0000-000022000000}"/>
    <cellStyle name="Normal 3 2 2 2 2 2 2" xfId="1086" xr:uid="{00000000-0005-0000-0000-000022000000}"/>
    <cellStyle name="Normal 3 2 2 2 2 2 2 2" xfId="4081" xr:uid="{00000000-0005-0000-0000-000022000000}"/>
    <cellStyle name="Normal 3 2 2 2 2 2 3" xfId="2836" xr:uid="{00000000-0005-0000-0000-000022000000}"/>
    <cellStyle name="Normal 3 2 2 2 2 2 3 2" xfId="5830" xr:uid="{00000000-0005-0000-0000-000022000000}"/>
    <cellStyle name="Normal 3 2 2 2 2 2 4" xfId="3345" xr:uid="{00000000-0005-0000-0000-000022000000}"/>
    <cellStyle name="Normal 3 2 2 2 2 3" xfId="1445" xr:uid="{00000000-0005-0000-0000-000022000000}"/>
    <cellStyle name="Normal 3 2 2 2 2 3 2" xfId="4440" xr:uid="{00000000-0005-0000-0000-000022000000}"/>
    <cellStyle name="Normal 3 2 2 2 2 4" xfId="648" xr:uid="{00000000-0005-0000-0000-000022000000}"/>
    <cellStyle name="Normal 3 2 2 2 2 4 2" xfId="3647" xr:uid="{00000000-0005-0000-0000-000022000000}"/>
    <cellStyle name="Normal 3 2 2 2 2 5" xfId="2500" xr:uid="{00000000-0005-0000-0000-000022000000}"/>
    <cellStyle name="Normal 3 2 2 2 2 5 2" xfId="5494" xr:uid="{00000000-0005-0000-0000-000022000000}"/>
    <cellStyle name="Normal 3 2 2 2 2 6" xfId="3200" xr:uid="{00000000-0005-0000-0000-000022000000}"/>
    <cellStyle name="Normal 3 2 2 2 3" xfId="248" xr:uid="{00000000-0005-0000-0000-000022000000}"/>
    <cellStyle name="Normal 3 2 2 2 3 2" xfId="1017" xr:uid="{00000000-0005-0000-0000-000022000000}"/>
    <cellStyle name="Normal 3 2 2 2 3 2 2" xfId="4012" xr:uid="{00000000-0005-0000-0000-000022000000}"/>
    <cellStyle name="Normal 3 2 2 2 3 3" xfId="2764" xr:uid="{00000000-0005-0000-0000-000022000000}"/>
    <cellStyle name="Normal 3 2 2 2 3 3 2" xfId="5758" xr:uid="{00000000-0005-0000-0000-000022000000}"/>
    <cellStyle name="Normal 3 2 2 2 3 4" xfId="3271" xr:uid="{00000000-0005-0000-0000-000022000000}"/>
    <cellStyle name="Normal 3 2 2 2 4" xfId="393" xr:uid="{00000000-0005-0000-0000-000022000000}"/>
    <cellStyle name="Normal 3 2 2 2 4 2" xfId="1373" xr:uid="{00000000-0005-0000-0000-000022000000}"/>
    <cellStyle name="Normal 3 2 2 2 4 2 2" xfId="4368" xr:uid="{00000000-0005-0000-0000-000022000000}"/>
    <cellStyle name="Normal 3 2 2 2 4 3" xfId="3416" xr:uid="{00000000-0005-0000-0000-000022000000}"/>
    <cellStyle name="Normal 3 2 2 2 5" xfId="576" xr:uid="{00000000-0005-0000-0000-000022000000}"/>
    <cellStyle name="Normal 3 2 2 2 5 2" xfId="3575" xr:uid="{00000000-0005-0000-0000-000022000000}"/>
    <cellStyle name="Normal 3 2 2 2 6" xfId="2428" xr:uid="{00000000-0005-0000-0000-000022000000}"/>
    <cellStyle name="Normal 3 2 2 2 6 2" xfId="5422" xr:uid="{00000000-0005-0000-0000-000022000000}"/>
    <cellStyle name="Normal 3 2 2 2 7" xfId="3126" xr:uid="{00000000-0005-0000-0000-000022000000}"/>
    <cellStyle name="Normal 3 2 2 3" xfId="121" xr:uid="{00000000-0005-0000-0000-000022000000}"/>
    <cellStyle name="Normal 3 2 2 3 2" xfId="194" xr:uid="{00000000-0005-0000-0000-000022000000}"/>
    <cellStyle name="Normal 3 2 2 3 2 2" xfId="339" xr:uid="{00000000-0005-0000-0000-000022000000}"/>
    <cellStyle name="Normal 3 2 2 3 2 2 2" xfId="1104" xr:uid="{00000000-0005-0000-0000-000022000000}"/>
    <cellStyle name="Normal 3 2 2 3 2 2 2 2" xfId="4099" xr:uid="{00000000-0005-0000-0000-000022000000}"/>
    <cellStyle name="Normal 3 2 2 3 2 2 3" xfId="2854" xr:uid="{00000000-0005-0000-0000-000022000000}"/>
    <cellStyle name="Normal 3 2 2 3 2 2 3 2" xfId="5848" xr:uid="{00000000-0005-0000-0000-000022000000}"/>
    <cellStyle name="Normal 3 2 2 3 2 2 4" xfId="3362" xr:uid="{00000000-0005-0000-0000-000022000000}"/>
    <cellStyle name="Normal 3 2 2 3 2 3" xfId="1463" xr:uid="{00000000-0005-0000-0000-000022000000}"/>
    <cellStyle name="Normal 3 2 2 3 2 3 2" xfId="4458" xr:uid="{00000000-0005-0000-0000-000022000000}"/>
    <cellStyle name="Normal 3 2 2 3 2 4" xfId="666" xr:uid="{00000000-0005-0000-0000-000022000000}"/>
    <cellStyle name="Normal 3 2 2 3 2 4 2" xfId="3665" xr:uid="{00000000-0005-0000-0000-000022000000}"/>
    <cellStyle name="Normal 3 2 2 3 2 5" xfId="2518" xr:uid="{00000000-0005-0000-0000-000022000000}"/>
    <cellStyle name="Normal 3 2 2 3 2 5 2" xfId="5512" xr:uid="{00000000-0005-0000-0000-000022000000}"/>
    <cellStyle name="Normal 3 2 2 3 2 6" xfId="3217" xr:uid="{00000000-0005-0000-0000-000022000000}"/>
    <cellStyle name="Normal 3 2 2 3 3" xfId="266" xr:uid="{00000000-0005-0000-0000-000022000000}"/>
    <cellStyle name="Normal 3 2 2 3 3 2" xfId="1033" xr:uid="{00000000-0005-0000-0000-000022000000}"/>
    <cellStyle name="Normal 3 2 2 3 3 2 2" xfId="4028" xr:uid="{00000000-0005-0000-0000-000022000000}"/>
    <cellStyle name="Normal 3 2 2 3 3 3" xfId="2782" xr:uid="{00000000-0005-0000-0000-000022000000}"/>
    <cellStyle name="Normal 3 2 2 3 3 3 2" xfId="5776" xr:uid="{00000000-0005-0000-0000-000022000000}"/>
    <cellStyle name="Normal 3 2 2 3 3 4" xfId="3289" xr:uid="{00000000-0005-0000-0000-000022000000}"/>
    <cellStyle name="Normal 3 2 2 3 4" xfId="411" xr:uid="{00000000-0005-0000-0000-000022000000}"/>
    <cellStyle name="Normal 3 2 2 3 4 2" xfId="1391" xr:uid="{00000000-0005-0000-0000-000022000000}"/>
    <cellStyle name="Normal 3 2 2 3 4 2 2" xfId="4386" xr:uid="{00000000-0005-0000-0000-000022000000}"/>
    <cellStyle name="Normal 3 2 2 3 4 3" xfId="3434" xr:uid="{00000000-0005-0000-0000-000022000000}"/>
    <cellStyle name="Normal 3 2 2 3 5" xfId="594" xr:uid="{00000000-0005-0000-0000-000022000000}"/>
    <cellStyle name="Normal 3 2 2 3 5 2" xfId="3593" xr:uid="{00000000-0005-0000-0000-000022000000}"/>
    <cellStyle name="Normal 3 2 2 3 6" xfId="2446" xr:uid="{00000000-0005-0000-0000-000022000000}"/>
    <cellStyle name="Normal 3 2 2 3 6 2" xfId="5440" xr:uid="{00000000-0005-0000-0000-000022000000}"/>
    <cellStyle name="Normal 3 2 2 3 7" xfId="3144" xr:uid="{00000000-0005-0000-0000-000022000000}"/>
    <cellStyle name="Normal 3 2 2 4" xfId="82" xr:uid="{00000000-0005-0000-0000-000022000000}"/>
    <cellStyle name="Normal 3 2 2 4 2" xfId="160" xr:uid="{00000000-0005-0000-0000-000022000000}"/>
    <cellStyle name="Normal 3 2 2 4 2 2" xfId="305" xr:uid="{00000000-0005-0000-0000-000022000000}"/>
    <cellStyle name="Normal 3 2 2 4 2 2 2" xfId="1068" xr:uid="{00000000-0005-0000-0000-000022000000}"/>
    <cellStyle name="Normal 3 2 2 4 2 2 2 2" xfId="4063" xr:uid="{00000000-0005-0000-0000-000022000000}"/>
    <cellStyle name="Normal 3 2 2 4 2 2 3" xfId="2818" xr:uid="{00000000-0005-0000-0000-000022000000}"/>
    <cellStyle name="Normal 3 2 2 4 2 2 3 2" xfId="5812" xr:uid="{00000000-0005-0000-0000-000022000000}"/>
    <cellStyle name="Normal 3 2 2 4 2 2 4" xfId="3328" xr:uid="{00000000-0005-0000-0000-000022000000}"/>
    <cellStyle name="Normal 3 2 2 4 2 3" xfId="1427" xr:uid="{00000000-0005-0000-0000-000022000000}"/>
    <cellStyle name="Normal 3 2 2 4 2 3 2" xfId="4422" xr:uid="{00000000-0005-0000-0000-000022000000}"/>
    <cellStyle name="Normal 3 2 2 4 2 4" xfId="630" xr:uid="{00000000-0005-0000-0000-000022000000}"/>
    <cellStyle name="Normal 3 2 2 4 2 4 2" xfId="3629" xr:uid="{00000000-0005-0000-0000-000022000000}"/>
    <cellStyle name="Normal 3 2 2 4 2 5" xfId="2482" xr:uid="{00000000-0005-0000-0000-000022000000}"/>
    <cellStyle name="Normal 3 2 2 4 2 5 2" xfId="5476" xr:uid="{00000000-0005-0000-0000-000022000000}"/>
    <cellStyle name="Normal 3 2 2 4 2 6" xfId="3183" xr:uid="{00000000-0005-0000-0000-000022000000}"/>
    <cellStyle name="Normal 3 2 2 4 3" xfId="230" xr:uid="{00000000-0005-0000-0000-000022000000}"/>
    <cellStyle name="Normal 3 2 2 4 3 2" xfId="1001" xr:uid="{00000000-0005-0000-0000-000022000000}"/>
    <cellStyle name="Normal 3 2 2 4 3 2 2" xfId="3996" xr:uid="{00000000-0005-0000-0000-000022000000}"/>
    <cellStyle name="Normal 3 2 2 4 3 3" xfId="2747" xr:uid="{00000000-0005-0000-0000-000022000000}"/>
    <cellStyle name="Normal 3 2 2 4 3 3 2" xfId="5741" xr:uid="{00000000-0005-0000-0000-000022000000}"/>
    <cellStyle name="Normal 3 2 2 4 3 4" xfId="3253" xr:uid="{00000000-0005-0000-0000-000022000000}"/>
    <cellStyle name="Normal 3 2 2 4 4" xfId="375" xr:uid="{00000000-0005-0000-0000-000022000000}"/>
    <cellStyle name="Normal 3 2 2 4 4 2" xfId="1356" xr:uid="{00000000-0005-0000-0000-000022000000}"/>
    <cellStyle name="Normal 3 2 2 4 4 2 2" xfId="4351" xr:uid="{00000000-0005-0000-0000-000022000000}"/>
    <cellStyle name="Normal 3 2 2 4 4 3" xfId="3398" xr:uid="{00000000-0005-0000-0000-000022000000}"/>
    <cellStyle name="Normal 3 2 2 4 5" xfId="559" xr:uid="{00000000-0005-0000-0000-000022000000}"/>
    <cellStyle name="Normal 3 2 2 4 5 2" xfId="3558" xr:uid="{00000000-0005-0000-0000-000022000000}"/>
    <cellStyle name="Normal 3 2 2 4 6" xfId="2410" xr:uid="{00000000-0005-0000-0000-000022000000}"/>
    <cellStyle name="Normal 3 2 2 4 6 2" xfId="5404" xr:uid="{00000000-0005-0000-0000-000022000000}"/>
    <cellStyle name="Normal 3 2 2 4 7" xfId="3108" xr:uid="{00000000-0005-0000-0000-000022000000}"/>
    <cellStyle name="Normal 3 2 2 5" xfId="144" xr:uid="{00000000-0005-0000-0000-000022000000}"/>
    <cellStyle name="Normal 3 2 2 5 2" xfId="289" xr:uid="{00000000-0005-0000-0000-000022000000}"/>
    <cellStyle name="Normal 3 2 2 5 2 2" xfId="1127" xr:uid="{00000000-0005-0000-0000-000022000000}"/>
    <cellStyle name="Normal 3 2 2 5 2 2 2" xfId="4122" xr:uid="{00000000-0005-0000-0000-000022000000}"/>
    <cellStyle name="Normal 3 2 2 5 2 3" xfId="2880" xr:uid="{00000000-0005-0000-0000-000022000000}"/>
    <cellStyle name="Normal 3 2 2 5 2 3 2" xfId="5874" xr:uid="{00000000-0005-0000-0000-000022000000}"/>
    <cellStyle name="Normal 3 2 2 5 2 4" xfId="3312" xr:uid="{00000000-0005-0000-0000-000022000000}"/>
    <cellStyle name="Normal 3 2 2 5 3" xfId="1489" xr:uid="{00000000-0005-0000-0000-000022000000}"/>
    <cellStyle name="Normal 3 2 2 5 3 2" xfId="4484" xr:uid="{00000000-0005-0000-0000-000022000000}"/>
    <cellStyle name="Normal 3 2 2 5 4" xfId="694" xr:uid="{00000000-0005-0000-0000-000022000000}"/>
    <cellStyle name="Normal 3 2 2 5 4 2" xfId="3691" xr:uid="{00000000-0005-0000-0000-000022000000}"/>
    <cellStyle name="Normal 3 2 2 5 5" xfId="2545" xr:uid="{00000000-0005-0000-0000-000022000000}"/>
    <cellStyle name="Normal 3 2 2 5 5 2" xfId="5539" xr:uid="{00000000-0005-0000-0000-000022000000}"/>
    <cellStyle name="Normal 3 2 2 5 6" xfId="3167" xr:uid="{00000000-0005-0000-0000-000022000000}"/>
    <cellStyle name="Normal 3 2 2 6" xfId="212" xr:uid="{00000000-0005-0000-0000-000022000000}"/>
    <cellStyle name="Normal 3 2 2 6 2" xfId="1050" xr:uid="{00000000-0005-0000-0000-000022000000}"/>
    <cellStyle name="Normal 3 2 2 6 2 2" xfId="2800" xr:uid="{00000000-0005-0000-0000-000022000000}"/>
    <cellStyle name="Normal 3 2 2 6 2 2 2" xfId="5794" xr:uid="{00000000-0005-0000-0000-000022000000}"/>
    <cellStyle name="Normal 3 2 2 6 2 3" xfId="4045" xr:uid="{00000000-0005-0000-0000-000022000000}"/>
    <cellStyle name="Normal 3 2 2 6 3" xfId="1409" xr:uid="{00000000-0005-0000-0000-000022000000}"/>
    <cellStyle name="Normal 3 2 2 6 3 2" xfId="4404" xr:uid="{00000000-0005-0000-0000-000022000000}"/>
    <cellStyle name="Normal 3 2 2 6 4" xfId="612" xr:uid="{00000000-0005-0000-0000-000022000000}"/>
    <cellStyle name="Normal 3 2 2 6 4 2" xfId="3611" xr:uid="{00000000-0005-0000-0000-000022000000}"/>
    <cellStyle name="Normal 3 2 2 6 5" xfId="2464" xr:uid="{00000000-0005-0000-0000-000022000000}"/>
    <cellStyle name="Normal 3 2 2 6 5 2" xfId="5458" xr:uid="{00000000-0005-0000-0000-000022000000}"/>
    <cellStyle name="Normal 3 2 2 6 6" xfId="3235" xr:uid="{00000000-0005-0000-0000-000022000000}"/>
    <cellStyle name="Normal 3 2 2 7" xfId="357" xr:uid="{00000000-0005-0000-0000-000022000000}"/>
    <cellStyle name="Normal 3 2 2 7 2" xfId="1154" xr:uid="{00000000-0005-0000-0000-000022000000}"/>
    <cellStyle name="Normal 3 2 2 7 2 2" xfId="4149" xr:uid="{00000000-0005-0000-0000-000022000000}"/>
    <cellStyle name="Normal 3 2 2 7 3" xfId="1594" xr:uid="{00000000-0005-0000-0000-000022000000}"/>
    <cellStyle name="Normal 3 2 2 7 3 2" xfId="4589" xr:uid="{00000000-0005-0000-0000-000022000000}"/>
    <cellStyle name="Normal 3 2 2 7 4" xfId="800" xr:uid="{00000000-0005-0000-0000-000022000000}"/>
    <cellStyle name="Normal 3 2 2 7 4 2" xfId="3796" xr:uid="{00000000-0005-0000-0000-000022000000}"/>
    <cellStyle name="Normal 3 2 2 7 5" xfId="2985" xr:uid="{00000000-0005-0000-0000-000022000000}"/>
    <cellStyle name="Normal 3 2 2 7 5 2" xfId="5979" xr:uid="{00000000-0005-0000-0000-000022000000}"/>
    <cellStyle name="Normal 3 2 2 7 6" xfId="3380" xr:uid="{00000000-0005-0000-0000-000022000000}"/>
    <cellStyle name="Normal 3 2 2 8" xfId="905" xr:uid="{00000000-0005-0000-0000-000022000000}"/>
    <cellStyle name="Normal 3 2 2 8 2" xfId="2650" xr:uid="{00000000-0005-0000-0000-000022000000}"/>
    <cellStyle name="Normal 3 2 2 8 2 2" xfId="5644" xr:uid="{00000000-0005-0000-0000-000022000000}"/>
    <cellStyle name="Normal 3 2 2 8 3" xfId="3901" xr:uid="{00000000-0005-0000-0000-000022000000}"/>
    <cellStyle name="Normal 3 2 2 9" xfId="1259" xr:uid="{00000000-0005-0000-0000-000022000000}"/>
    <cellStyle name="Normal 3 2 2 9 2" xfId="4254" xr:uid="{00000000-0005-0000-0000-000022000000}"/>
    <cellStyle name="Normal 3 2 3" xfId="94" xr:uid="{00000000-0005-0000-0000-000021000000}"/>
    <cellStyle name="Normal 3 2 3 2" xfId="171" xr:uid="{00000000-0005-0000-0000-000021000000}"/>
    <cellStyle name="Normal 3 2 3 2 2" xfId="316" xr:uid="{00000000-0005-0000-0000-000021000000}"/>
    <cellStyle name="Normal 3 2 3 2 2 2" xfId="1079" xr:uid="{00000000-0005-0000-0000-000021000000}"/>
    <cellStyle name="Normal 3 2 3 2 2 2 2" xfId="4074" xr:uid="{00000000-0005-0000-0000-000021000000}"/>
    <cellStyle name="Normal 3 2 3 2 2 3" xfId="2829" xr:uid="{00000000-0005-0000-0000-000021000000}"/>
    <cellStyle name="Normal 3 2 3 2 2 3 2" xfId="5823" xr:uid="{00000000-0005-0000-0000-000021000000}"/>
    <cellStyle name="Normal 3 2 3 2 2 4" xfId="3339" xr:uid="{00000000-0005-0000-0000-000021000000}"/>
    <cellStyle name="Normal 3 2 3 2 3" xfId="1438" xr:uid="{00000000-0005-0000-0000-000021000000}"/>
    <cellStyle name="Normal 3 2 3 2 3 2" xfId="4433" xr:uid="{00000000-0005-0000-0000-000021000000}"/>
    <cellStyle name="Normal 3 2 3 2 4" xfId="641" xr:uid="{00000000-0005-0000-0000-000021000000}"/>
    <cellStyle name="Normal 3 2 3 2 4 2" xfId="3640" xr:uid="{00000000-0005-0000-0000-000021000000}"/>
    <cellStyle name="Normal 3 2 3 2 5" xfId="2493" xr:uid="{00000000-0005-0000-0000-000021000000}"/>
    <cellStyle name="Normal 3 2 3 2 5 2" xfId="5487" xr:uid="{00000000-0005-0000-0000-000021000000}"/>
    <cellStyle name="Normal 3 2 3 2 6" xfId="3194" xr:uid="{00000000-0005-0000-0000-000021000000}"/>
    <cellStyle name="Normal 3 2 3 3" xfId="241" xr:uid="{00000000-0005-0000-0000-000021000000}"/>
    <cellStyle name="Normal 3 2 3 3 2" xfId="1011" xr:uid="{00000000-0005-0000-0000-000021000000}"/>
    <cellStyle name="Normal 3 2 3 3 2 2" xfId="4006" xr:uid="{00000000-0005-0000-0000-000021000000}"/>
    <cellStyle name="Normal 3 2 3 3 3" xfId="2758" xr:uid="{00000000-0005-0000-0000-000021000000}"/>
    <cellStyle name="Normal 3 2 3 3 3 2" xfId="5752" xr:uid="{00000000-0005-0000-0000-000021000000}"/>
    <cellStyle name="Normal 3 2 3 3 4" xfId="3264" xr:uid="{00000000-0005-0000-0000-000021000000}"/>
    <cellStyle name="Normal 3 2 3 4" xfId="386" xr:uid="{00000000-0005-0000-0000-000021000000}"/>
    <cellStyle name="Normal 3 2 3 4 2" xfId="1367" xr:uid="{00000000-0005-0000-0000-000021000000}"/>
    <cellStyle name="Normal 3 2 3 4 2 2" xfId="4362" xr:uid="{00000000-0005-0000-0000-000021000000}"/>
    <cellStyle name="Normal 3 2 3 4 3" xfId="3409" xr:uid="{00000000-0005-0000-0000-000021000000}"/>
    <cellStyle name="Normal 3 2 3 5" xfId="570" xr:uid="{00000000-0005-0000-0000-000021000000}"/>
    <cellStyle name="Normal 3 2 3 5 2" xfId="3569" xr:uid="{00000000-0005-0000-0000-000021000000}"/>
    <cellStyle name="Normal 3 2 3 6" xfId="2421" xr:uid="{00000000-0005-0000-0000-000021000000}"/>
    <cellStyle name="Normal 3 2 3 6 2" xfId="5415" xr:uid="{00000000-0005-0000-0000-000021000000}"/>
    <cellStyle name="Normal 3 2 3 7" xfId="3119" xr:uid="{00000000-0005-0000-0000-000021000000}"/>
    <cellStyle name="Normal 3 2 4" xfId="114" xr:uid="{00000000-0005-0000-0000-000021000000}"/>
    <cellStyle name="Normal 3 2 4 2" xfId="188" xr:uid="{00000000-0005-0000-0000-000021000000}"/>
    <cellStyle name="Normal 3 2 4 2 2" xfId="333" xr:uid="{00000000-0005-0000-0000-000021000000}"/>
    <cellStyle name="Normal 3 2 4 2 2 2" xfId="1097" xr:uid="{00000000-0005-0000-0000-000021000000}"/>
    <cellStyle name="Normal 3 2 4 2 2 2 2" xfId="4092" xr:uid="{00000000-0005-0000-0000-000021000000}"/>
    <cellStyle name="Normal 3 2 4 2 2 3" xfId="2847" xr:uid="{00000000-0005-0000-0000-000021000000}"/>
    <cellStyle name="Normal 3 2 4 2 2 3 2" xfId="5841" xr:uid="{00000000-0005-0000-0000-000021000000}"/>
    <cellStyle name="Normal 3 2 4 2 2 4" xfId="3356" xr:uid="{00000000-0005-0000-0000-000021000000}"/>
    <cellStyle name="Normal 3 2 4 2 3" xfId="1456" xr:uid="{00000000-0005-0000-0000-000021000000}"/>
    <cellStyle name="Normal 3 2 4 2 3 2" xfId="4451" xr:uid="{00000000-0005-0000-0000-000021000000}"/>
    <cellStyle name="Normal 3 2 4 2 4" xfId="659" xr:uid="{00000000-0005-0000-0000-000021000000}"/>
    <cellStyle name="Normal 3 2 4 2 4 2" xfId="3658" xr:uid="{00000000-0005-0000-0000-000021000000}"/>
    <cellStyle name="Normal 3 2 4 2 5" xfId="2511" xr:uid="{00000000-0005-0000-0000-000021000000}"/>
    <cellStyle name="Normal 3 2 4 2 5 2" xfId="5505" xr:uid="{00000000-0005-0000-0000-000021000000}"/>
    <cellStyle name="Normal 3 2 4 2 6" xfId="3211" xr:uid="{00000000-0005-0000-0000-000021000000}"/>
    <cellStyle name="Normal 3 2 4 3" xfId="259" xr:uid="{00000000-0005-0000-0000-000021000000}"/>
    <cellStyle name="Normal 3 2 4 3 2" xfId="1027" xr:uid="{00000000-0005-0000-0000-000021000000}"/>
    <cellStyle name="Normal 3 2 4 3 2 2" xfId="4022" xr:uid="{00000000-0005-0000-0000-000021000000}"/>
    <cellStyle name="Normal 3 2 4 3 3" xfId="2775" xr:uid="{00000000-0005-0000-0000-000021000000}"/>
    <cellStyle name="Normal 3 2 4 3 3 2" xfId="5769" xr:uid="{00000000-0005-0000-0000-000021000000}"/>
    <cellStyle name="Normal 3 2 4 3 4" xfId="3282" xr:uid="{00000000-0005-0000-0000-000021000000}"/>
    <cellStyle name="Normal 3 2 4 4" xfId="404" xr:uid="{00000000-0005-0000-0000-000021000000}"/>
    <cellStyle name="Normal 3 2 4 4 2" xfId="1384" xr:uid="{00000000-0005-0000-0000-000021000000}"/>
    <cellStyle name="Normal 3 2 4 4 2 2" xfId="4379" xr:uid="{00000000-0005-0000-0000-000021000000}"/>
    <cellStyle name="Normal 3 2 4 4 3" xfId="3427" xr:uid="{00000000-0005-0000-0000-000021000000}"/>
    <cellStyle name="Normal 3 2 4 5" xfId="587" xr:uid="{00000000-0005-0000-0000-000021000000}"/>
    <cellStyle name="Normal 3 2 4 5 2" xfId="3586" xr:uid="{00000000-0005-0000-0000-000021000000}"/>
    <cellStyle name="Normal 3 2 4 6" xfId="2439" xr:uid="{00000000-0005-0000-0000-000021000000}"/>
    <cellStyle name="Normal 3 2 4 6 2" xfId="5433" xr:uid="{00000000-0005-0000-0000-000021000000}"/>
    <cellStyle name="Normal 3 2 4 7" xfId="3137" xr:uid="{00000000-0005-0000-0000-000021000000}"/>
    <cellStyle name="Normal 3 2 5" xfId="75" xr:uid="{00000000-0005-0000-0000-000021000000}"/>
    <cellStyle name="Normal 3 2 5 2" xfId="154" xr:uid="{00000000-0005-0000-0000-000021000000}"/>
    <cellStyle name="Normal 3 2 5 2 2" xfId="299" xr:uid="{00000000-0005-0000-0000-000021000000}"/>
    <cellStyle name="Normal 3 2 5 2 2 2" xfId="1061" xr:uid="{00000000-0005-0000-0000-000021000000}"/>
    <cellStyle name="Normal 3 2 5 2 2 2 2" xfId="4056" xr:uid="{00000000-0005-0000-0000-000021000000}"/>
    <cellStyle name="Normal 3 2 5 2 2 3" xfId="2811" xr:uid="{00000000-0005-0000-0000-000021000000}"/>
    <cellStyle name="Normal 3 2 5 2 2 3 2" xfId="5805" xr:uid="{00000000-0005-0000-0000-000021000000}"/>
    <cellStyle name="Normal 3 2 5 2 2 4" xfId="3322" xr:uid="{00000000-0005-0000-0000-000021000000}"/>
    <cellStyle name="Normal 3 2 5 2 3" xfId="1420" xr:uid="{00000000-0005-0000-0000-000021000000}"/>
    <cellStyle name="Normal 3 2 5 2 3 2" xfId="4415" xr:uid="{00000000-0005-0000-0000-000021000000}"/>
    <cellStyle name="Normal 3 2 5 2 4" xfId="623" xr:uid="{00000000-0005-0000-0000-000021000000}"/>
    <cellStyle name="Normal 3 2 5 2 4 2" xfId="3622" xr:uid="{00000000-0005-0000-0000-000021000000}"/>
    <cellStyle name="Normal 3 2 5 2 5" xfId="2475" xr:uid="{00000000-0005-0000-0000-000021000000}"/>
    <cellStyle name="Normal 3 2 5 2 5 2" xfId="5469" xr:uid="{00000000-0005-0000-0000-000021000000}"/>
    <cellStyle name="Normal 3 2 5 2 6" xfId="3177" xr:uid="{00000000-0005-0000-0000-000021000000}"/>
    <cellStyle name="Normal 3 2 5 3" xfId="223" xr:uid="{00000000-0005-0000-0000-000021000000}"/>
    <cellStyle name="Normal 3 2 5 3 2" xfId="995" xr:uid="{00000000-0005-0000-0000-000021000000}"/>
    <cellStyle name="Normal 3 2 5 3 2 2" xfId="3990" xr:uid="{00000000-0005-0000-0000-000021000000}"/>
    <cellStyle name="Normal 3 2 5 3 3" xfId="2740" xr:uid="{00000000-0005-0000-0000-000021000000}"/>
    <cellStyle name="Normal 3 2 5 3 3 2" xfId="5734" xr:uid="{00000000-0005-0000-0000-000021000000}"/>
    <cellStyle name="Normal 3 2 5 3 4" xfId="3246" xr:uid="{00000000-0005-0000-0000-000021000000}"/>
    <cellStyle name="Normal 3 2 5 4" xfId="368" xr:uid="{00000000-0005-0000-0000-000021000000}"/>
    <cellStyle name="Normal 3 2 5 4 2" xfId="1349" xr:uid="{00000000-0005-0000-0000-000021000000}"/>
    <cellStyle name="Normal 3 2 5 4 2 2" xfId="4344" xr:uid="{00000000-0005-0000-0000-000021000000}"/>
    <cellStyle name="Normal 3 2 5 4 3" xfId="3391" xr:uid="{00000000-0005-0000-0000-000021000000}"/>
    <cellStyle name="Normal 3 2 5 5" xfId="552" xr:uid="{00000000-0005-0000-0000-000021000000}"/>
    <cellStyle name="Normal 3 2 5 5 2" xfId="3551" xr:uid="{00000000-0005-0000-0000-000021000000}"/>
    <cellStyle name="Normal 3 2 5 6" xfId="2403" xr:uid="{00000000-0005-0000-0000-000021000000}"/>
    <cellStyle name="Normal 3 2 5 6 2" xfId="5397" xr:uid="{00000000-0005-0000-0000-000021000000}"/>
    <cellStyle name="Normal 3 2 5 7" xfId="3101" xr:uid="{00000000-0005-0000-0000-000021000000}"/>
    <cellStyle name="Normal 3 2 6" xfId="138" xr:uid="{00000000-0005-0000-0000-000021000000}"/>
    <cellStyle name="Normal 3 2 6 2" xfId="283" xr:uid="{00000000-0005-0000-0000-000021000000}"/>
    <cellStyle name="Normal 3 2 6 2 2" xfId="1120" xr:uid="{00000000-0005-0000-0000-000021000000}"/>
    <cellStyle name="Normal 3 2 6 2 2 2" xfId="4115" xr:uid="{00000000-0005-0000-0000-000021000000}"/>
    <cellStyle name="Normal 3 2 6 2 3" xfId="2873" xr:uid="{00000000-0005-0000-0000-000021000000}"/>
    <cellStyle name="Normal 3 2 6 2 3 2" xfId="5867" xr:uid="{00000000-0005-0000-0000-000021000000}"/>
    <cellStyle name="Normal 3 2 6 2 4" xfId="3306" xr:uid="{00000000-0005-0000-0000-000021000000}"/>
    <cellStyle name="Normal 3 2 6 3" xfId="1482" xr:uid="{00000000-0005-0000-0000-000021000000}"/>
    <cellStyle name="Normal 3 2 6 3 2" xfId="4477" xr:uid="{00000000-0005-0000-0000-000021000000}"/>
    <cellStyle name="Normal 3 2 6 4" xfId="687" xr:uid="{00000000-0005-0000-0000-000021000000}"/>
    <cellStyle name="Normal 3 2 6 4 2" xfId="3684" xr:uid="{00000000-0005-0000-0000-000021000000}"/>
    <cellStyle name="Normal 3 2 6 5" xfId="2538" xr:uid="{00000000-0005-0000-0000-000021000000}"/>
    <cellStyle name="Normal 3 2 6 5 2" xfId="5532" xr:uid="{00000000-0005-0000-0000-000021000000}"/>
    <cellStyle name="Normal 3 2 6 6" xfId="3161" xr:uid="{00000000-0005-0000-0000-000021000000}"/>
    <cellStyle name="Normal 3 2 7" xfId="205" xr:uid="{00000000-0005-0000-0000-000021000000}"/>
    <cellStyle name="Normal 3 2 7 2" xfId="1043" xr:uid="{00000000-0005-0000-0000-000021000000}"/>
    <cellStyle name="Normal 3 2 7 2 2" xfId="2793" xr:uid="{00000000-0005-0000-0000-000021000000}"/>
    <cellStyle name="Normal 3 2 7 2 2 2" xfId="5787" xr:uid="{00000000-0005-0000-0000-000021000000}"/>
    <cellStyle name="Normal 3 2 7 2 3" xfId="4038" xr:uid="{00000000-0005-0000-0000-000021000000}"/>
    <cellStyle name="Normal 3 2 7 3" xfId="1402" xr:uid="{00000000-0005-0000-0000-000021000000}"/>
    <cellStyle name="Normal 3 2 7 3 2" xfId="4397" xr:uid="{00000000-0005-0000-0000-000021000000}"/>
    <cellStyle name="Normal 3 2 7 4" xfId="605" xr:uid="{00000000-0005-0000-0000-000021000000}"/>
    <cellStyle name="Normal 3 2 7 4 2" xfId="3604" xr:uid="{00000000-0005-0000-0000-000021000000}"/>
    <cellStyle name="Normal 3 2 7 5" xfId="2457" xr:uid="{00000000-0005-0000-0000-000021000000}"/>
    <cellStyle name="Normal 3 2 7 5 2" xfId="5451" xr:uid="{00000000-0005-0000-0000-000021000000}"/>
    <cellStyle name="Normal 3 2 7 6" xfId="3228" xr:uid="{00000000-0005-0000-0000-000021000000}"/>
    <cellStyle name="Normal 3 2 8" xfId="350" xr:uid="{00000000-0005-0000-0000-000021000000}"/>
    <cellStyle name="Normal 3 2 8 2" xfId="1147" xr:uid="{00000000-0005-0000-0000-000021000000}"/>
    <cellStyle name="Normal 3 2 8 2 2" xfId="4142" xr:uid="{00000000-0005-0000-0000-000021000000}"/>
    <cellStyle name="Normal 3 2 8 3" xfId="1587" xr:uid="{00000000-0005-0000-0000-000021000000}"/>
    <cellStyle name="Normal 3 2 8 3 2" xfId="4582" xr:uid="{00000000-0005-0000-0000-000021000000}"/>
    <cellStyle name="Normal 3 2 8 4" xfId="793" xr:uid="{00000000-0005-0000-0000-000021000000}"/>
    <cellStyle name="Normal 3 2 8 4 2" xfId="3789" xr:uid="{00000000-0005-0000-0000-000021000000}"/>
    <cellStyle name="Normal 3 2 8 5" xfId="2978" xr:uid="{00000000-0005-0000-0000-000021000000}"/>
    <cellStyle name="Normal 3 2 8 5 2" xfId="5972" xr:uid="{00000000-0005-0000-0000-000021000000}"/>
    <cellStyle name="Normal 3 2 8 6" xfId="3373" xr:uid="{00000000-0005-0000-0000-000021000000}"/>
    <cellStyle name="Normal 3 2 9" xfId="950" xr:uid="{00000000-0005-0000-0000-000021000000}"/>
    <cellStyle name="Normal 3 2 9 2" xfId="2643" xr:uid="{00000000-0005-0000-0000-000021000000}"/>
    <cellStyle name="Normal 3 2 9 2 2" xfId="5637" xr:uid="{00000000-0005-0000-0000-000021000000}"/>
    <cellStyle name="Normal 3 2 9 3" xfId="3945" xr:uid="{00000000-0005-0000-0000-000021000000}"/>
    <cellStyle name="Normal 3 3" xfId="59" xr:uid="{00000000-0005-0000-0000-000023000000}"/>
    <cellStyle name="Normal 3 3 10" xfId="456" xr:uid="{00000000-0005-0000-0000-000023000000}"/>
    <cellStyle name="Normal 3 3 10 2" xfId="3460" xr:uid="{00000000-0005-0000-0000-000023000000}"/>
    <cellStyle name="Normal 3 3 11" xfId="2390" xr:uid="{00000000-0005-0000-0000-000023000000}"/>
    <cellStyle name="Normal 3 3 11 2" xfId="5384" xr:uid="{00000000-0005-0000-0000-000023000000}"/>
    <cellStyle name="Normal 3 3 12" xfId="3088" xr:uid="{00000000-0005-0000-0000-000023000000}"/>
    <cellStyle name="Normal 3 3 2" xfId="99" xr:uid="{00000000-0005-0000-0000-000023000000}"/>
    <cellStyle name="Normal 3 3 2 2" xfId="175" xr:uid="{00000000-0005-0000-0000-000023000000}"/>
    <cellStyle name="Normal 3 3 2 2 2" xfId="320" xr:uid="{00000000-0005-0000-0000-000023000000}"/>
    <cellStyle name="Normal 3 3 2 2 2 2" xfId="1084" xr:uid="{00000000-0005-0000-0000-000023000000}"/>
    <cellStyle name="Normal 3 3 2 2 2 2 2" xfId="4079" xr:uid="{00000000-0005-0000-0000-000023000000}"/>
    <cellStyle name="Normal 3 3 2 2 2 3" xfId="2834" xr:uid="{00000000-0005-0000-0000-000023000000}"/>
    <cellStyle name="Normal 3 3 2 2 2 3 2" xfId="5828" xr:uid="{00000000-0005-0000-0000-000023000000}"/>
    <cellStyle name="Normal 3 3 2 2 2 4" xfId="3343" xr:uid="{00000000-0005-0000-0000-000023000000}"/>
    <cellStyle name="Normal 3 3 2 2 3" xfId="1443" xr:uid="{00000000-0005-0000-0000-000023000000}"/>
    <cellStyle name="Normal 3 3 2 2 3 2" xfId="4438" xr:uid="{00000000-0005-0000-0000-000023000000}"/>
    <cellStyle name="Normal 3 3 2 2 4" xfId="646" xr:uid="{00000000-0005-0000-0000-000023000000}"/>
    <cellStyle name="Normal 3 3 2 2 4 2" xfId="3645" xr:uid="{00000000-0005-0000-0000-000023000000}"/>
    <cellStyle name="Normal 3 3 2 2 5" xfId="2498" xr:uid="{00000000-0005-0000-0000-000023000000}"/>
    <cellStyle name="Normal 3 3 2 2 5 2" xfId="5492" xr:uid="{00000000-0005-0000-0000-000023000000}"/>
    <cellStyle name="Normal 3 3 2 2 6" xfId="3198" xr:uid="{00000000-0005-0000-0000-000023000000}"/>
    <cellStyle name="Normal 3 3 2 3" xfId="246" xr:uid="{00000000-0005-0000-0000-000023000000}"/>
    <cellStyle name="Normal 3 3 2 3 2" xfId="1015" xr:uid="{00000000-0005-0000-0000-000023000000}"/>
    <cellStyle name="Normal 3 3 2 3 2 2" xfId="4010" xr:uid="{00000000-0005-0000-0000-000023000000}"/>
    <cellStyle name="Normal 3 3 2 3 3" xfId="2762" xr:uid="{00000000-0005-0000-0000-000023000000}"/>
    <cellStyle name="Normal 3 3 2 3 3 2" xfId="5756" xr:uid="{00000000-0005-0000-0000-000023000000}"/>
    <cellStyle name="Normal 3 3 2 3 4" xfId="3269" xr:uid="{00000000-0005-0000-0000-000023000000}"/>
    <cellStyle name="Normal 3 3 2 4" xfId="391" xr:uid="{00000000-0005-0000-0000-000023000000}"/>
    <cellStyle name="Normal 3 3 2 4 2" xfId="1371" xr:uid="{00000000-0005-0000-0000-000023000000}"/>
    <cellStyle name="Normal 3 3 2 4 2 2" xfId="4366" xr:uid="{00000000-0005-0000-0000-000023000000}"/>
    <cellStyle name="Normal 3 3 2 4 3" xfId="3414" xr:uid="{00000000-0005-0000-0000-000023000000}"/>
    <cellStyle name="Normal 3 3 2 5" xfId="574" xr:uid="{00000000-0005-0000-0000-000023000000}"/>
    <cellStyle name="Normal 3 3 2 5 2" xfId="3573" xr:uid="{00000000-0005-0000-0000-000023000000}"/>
    <cellStyle name="Normal 3 3 2 6" xfId="2426" xr:uid="{00000000-0005-0000-0000-000023000000}"/>
    <cellStyle name="Normal 3 3 2 6 2" xfId="5420" xr:uid="{00000000-0005-0000-0000-000023000000}"/>
    <cellStyle name="Normal 3 3 2 7" xfId="3124" xr:uid="{00000000-0005-0000-0000-000023000000}"/>
    <cellStyle name="Normal 3 3 3" xfId="119" xr:uid="{00000000-0005-0000-0000-000023000000}"/>
    <cellStyle name="Normal 3 3 3 2" xfId="192" xr:uid="{00000000-0005-0000-0000-000023000000}"/>
    <cellStyle name="Normal 3 3 3 2 2" xfId="337" xr:uid="{00000000-0005-0000-0000-000023000000}"/>
    <cellStyle name="Normal 3 3 3 2 2 2" xfId="1102" xr:uid="{00000000-0005-0000-0000-000023000000}"/>
    <cellStyle name="Normal 3 3 3 2 2 2 2" xfId="4097" xr:uid="{00000000-0005-0000-0000-000023000000}"/>
    <cellStyle name="Normal 3 3 3 2 2 3" xfId="2852" xr:uid="{00000000-0005-0000-0000-000023000000}"/>
    <cellStyle name="Normal 3 3 3 2 2 3 2" xfId="5846" xr:uid="{00000000-0005-0000-0000-000023000000}"/>
    <cellStyle name="Normal 3 3 3 2 2 4" xfId="3360" xr:uid="{00000000-0005-0000-0000-000023000000}"/>
    <cellStyle name="Normal 3 3 3 2 3" xfId="1461" xr:uid="{00000000-0005-0000-0000-000023000000}"/>
    <cellStyle name="Normal 3 3 3 2 3 2" xfId="4456" xr:uid="{00000000-0005-0000-0000-000023000000}"/>
    <cellStyle name="Normal 3 3 3 2 4" xfId="664" xr:uid="{00000000-0005-0000-0000-000023000000}"/>
    <cellStyle name="Normal 3 3 3 2 4 2" xfId="3663" xr:uid="{00000000-0005-0000-0000-000023000000}"/>
    <cellStyle name="Normal 3 3 3 2 5" xfId="2516" xr:uid="{00000000-0005-0000-0000-000023000000}"/>
    <cellStyle name="Normal 3 3 3 2 5 2" xfId="5510" xr:uid="{00000000-0005-0000-0000-000023000000}"/>
    <cellStyle name="Normal 3 3 3 2 6" xfId="3215" xr:uid="{00000000-0005-0000-0000-000023000000}"/>
    <cellStyle name="Normal 3 3 3 3" xfId="264" xr:uid="{00000000-0005-0000-0000-000023000000}"/>
    <cellStyle name="Normal 3 3 3 3 2" xfId="1031" xr:uid="{00000000-0005-0000-0000-000023000000}"/>
    <cellStyle name="Normal 3 3 3 3 2 2" xfId="4026" xr:uid="{00000000-0005-0000-0000-000023000000}"/>
    <cellStyle name="Normal 3 3 3 3 3" xfId="2780" xr:uid="{00000000-0005-0000-0000-000023000000}"/>
    <cellStyle name="Normal 3 3 3 3 3 2" xfId="5774" xr:uid="{00000000-0005-0000-0000-000023000000}"/>
    <cellStyle name="Normal 3 3 3 3 4" xfId="3287" xr:uid="{00000000-0005-0000-0000-000023000000}"/>
    <cellStyle name="Normal 3 3 3 4" xfId="409" xr:uid="{00000000-0005-0000-0000-000023000000}"/>
    <cellStyle name="Normal 3 3 3 4 2" xfId="1389" xr:uid="{00000000-0005-0000-0000-000023000000}"/>
    <cellStyle name="Normal 3 3 3 4 2 2" xfId="4384" xr:uid="{00000000-0005-0000-0000-000023000000}"/>
    <cellStyle name="Normal 3 3 3 4 3" xfId="3432" xr:uid="{00000000-0005-0000-0000-000023000000}"/>
    <cellStyle name="Normal 3 3 3 5" xfId="592" xr:uid="{00000000-0005-0000-0000-000023000000}"/>
    <cellStyle name="Normal 3 3 3 5 2" xfId="3591" xr:uid="{00000000-0005-0000-0000-000023000000}"/>
    <cellStyle name="Normal 3 3 3 6" xfId="2444" xr:uid="{00000000-0005-0000-0000-000023000000}"/>
    <cellStyle name="Normal 3 3 3 6 2" xfId="5438" xr:uid="{00000000-0005-0000-0000-000023000000}"/>
    <cellStyle name="Normal 3 3 3 7" xfId="3142" xr:uid="{00000000-0005-0000-0000-000023000000}"/>
    <cellStyle name="Normal 3 3 4" xfId="80" xr:uid="{00000000-0005-0000-0000-000023000000}"/>
    <cellStyle name="Normal 3 3 4 2" xfId="158" xr:uid="{00000000-0005-0000-0000-000023000000}"/>
    <cellStyle name="Normal 3 3 4 2 2" xfId="303" xr:uid="{00000000-0005-0000-0000-000023000000}"/>
    <cellStyle name="Normal 3 3 4 2 2 2" xfId="1066" xr:uid="{00000000-0005-0000-0000-000023000000}"/>
    <cellStyle name="Normal 3 3 4 2 2 2 2" xfId="4061" xr:uid="{00000000-0005-0000-0000-000023000000}"/>
    <cellStyle name="Normal 3 3 4 2 2 3" xfId="2816" xr:uid="{00000000-0005-0000-0000-000023000000}"/>
    <cellStyle name="Normal 3 3 4 2 2 3 2" xfId="5810" xr:uid="{00000000-0005-0000-0000-000023000000}"/>
    <cellStyle name="Normal 3 3 4 2 2 4" xfId="3326" xr:uid="{00000000-0005-0000-0000-000023000000}"/>
    <cellStyle name="Normal 3 3 4 2 3" xfId="1425" xr:uid="{00000000-0005-0000-0000-000023000000}"/>
    <cellStyle name="Normal 3 3 4 2 3 2" xfId="4420" xr:uid="{00000000-0005-0000-0000-000023000000}"/>
    <cellStyle name="Normal 3 3 4 2 4" xfId="628" xr:uid="{00000000-0005-0000-0000-000023000000}"/>
    <cellStyle name="Normal 3 3 4 2 4 2" xfId="3627" xr:uid="{00000000-0005-0000-0000-000023000000}"/>
    <cellStyle name="Normal 3 3 4 2 5" xfId="2480" xr:uid="{00000000-0005-0000-0000-000023000000}"/>
    <cellStyle name="Normal 3 3 4 2 5 2" xfId="5474" xr:uid="{00000000-0005-0000-0000-000023000000}"/>
    <cellStyle name="Normal 3 3 4 2 6" xfId="3181" xr:uid="{00000000-0005-0000-0000-000023000000}"/>
    <cellStyle name="Normal 3 3 4 3" xfId="228" xr:uid="{00000000-0005-0000-0000-000023000000}"/>
    <cellStyle name="Normal 3 3 4 3 2" xfId="999" xr:uid="{00000000-0005-0000-0000-000023000000}"/>
    <cellStyle name="Normal 3 3 4 3 2 2" xfId="3994" xr:uid="{00000000-0005-0000-0000-000023000000}"/>
    <cellStyle name="Normal 3 3 4 3 3" xfId="2745" xr:uid="{00000000-0005-0000-0000-000023000000}"/>
    <cellStyle name="Normal 3 3 4 3 3 2" xfId="5739" xr:uid="{00000000-0005-0000-0000-000023000000}"/>
    <cellStyle name="Normal 3 3 4 3 4" xfId="3251" xr:uid="{00000000-0005-0000-0000-000023000000}"/>
    <cellStyle name="Normal 3 3 4 4" xfId="373" xr:uid="{00000000-0005-0000-0000-000023000000}"/>
    <cellStyle name="Normal 3 3 4 4 2" xfId="1354" xr:uid="{00000000-0005-0000-0000-000023000000}"/>
    <cellStyle name="Normal 3 3 4 4 2 2" xfId="4349" xr:uid="{00000000-0005-0000-0000-000023000000}"/>
    <cellStyle name="Normal 3 3 4 4 3" xfId="3396" xr:uid="{00000000-0005-0000-0000-000023000000}"/>
    <cellStyle name="Normal 3 3 4 5" xfId="557" xr:uid="{00000000-0005-0000-0000-000023000000}"/>
    <cellStyle name="Normal 3 3 4 5 2" xfId="3556" xr:uid="{00000000-0005-0000-0000-000023000000}"/>
    <cellStyle name="Normal 3 3 4 6" xfId="2408" xr:uid="{00000000-0005-0000-0000-000023000000}"/>
    <cellStyle name="Normal 3 3 4 6 2" xfId="5402" xr:uid="{00000000-0005-0000-0000-000023000000}"/>
    <cellStyle name="Normal 3 3 4 7" xfId="3106" xr:uid="{00000000-0005-0000-0000-000023000000}"/>
    <cellStyle name="Normal 3 3 5" xfId="142" xr:uid="{00000000-0005-0000-0000-000023000000}"/>
    <cellStyle name="Normal 3 3 5 2" xfId="287" xr:uid="{00000000-0005-0000-0000-000023000000}"/>
    <cellStyle name="Normal 3 3 5 2 2" xfId="1125" xr:uid="{00000000-0005-0000-0000-000023000000}"/>
    <cellStyle name="Normal 3 3 5 2 2 2" xfId="4120" xr:uid="{00000000-0005-0000-0000-000023000000}"/>
    <cellStyle name="Normal 3 3 5 2 3" xfId="2878" xr:uid="{00000000-0005-0000-0000-000023000000}"/>
    <cellStyle name="Normal 3 3 5 2 3 2" xfId="5872" xr:uid="{00000000-0005-0000-0000-000023000000}"/>
    <cellStyle name="Normal 3 3 5 2 4" xfId="3310" xr:uid="{00000000-0005-0000-0000-000023000000}"/>
    <cellStyle name="Normal 3 3 5 3" xfId="1487" xr:uid="{00000000-0005-0000-0000-000023000000}"/>
    <cellStyle name="Normal 3 3 5 3 2" xfId="4482" xr:uid="{00000000-0005-0000-0000-000023000000}"/>
    <cellStyle name="Normal 3 3 5 4" xfId="692" xr:uid="{00000000-0005-0000-0000-000023000000}"/>
    <cellStyle name="Normal 3 3 5 4 2" xfId="3689" xr:uid="{00000000-0005-0000-0000-000023000000}"/>
    <cellStyle name="Normal 3 3 5 5" xfId="2543" xr:uid="{00000000-0005-0000-0000-000023000000}"/>
    <cellStyle name="Normal 3 3 5 5 2" xfId="5537" xr:uid="{00000000-0005-0000-0000-000023000000}"/>
    <cellStyle name="Normal 3 3 5 6" xfId="3165" xr:uid="{00000000-0005-0000-0000-000023000000}"/>
    <cellStyle name="Normal 3 3 6" xfId="210" xr:uid="{00000000-0005-0000-0000-000023000000}"/>
    <cellStyle name="Normal 3 3 6 2" xfId="1048" xr:uid="{00000000-0005-0000-0000-000023000000}"/>
    <cellStyle name="Normal 3 3 6 2 2" xfId="2798" xr:uid="{00000000-0005-0000-0000-000023000000}"/>
    <cellStyle name="Normal 3 3 6 2 2 2" xfId="5792" xr:uid="{00000000-0005-0000-0000-000023000000}"/>
    <cellStyle name="Normal 3 3 6 2 3" xfId="4043" xr:uid="{00000000-0005-0000-0000-000023000000}"/>
    <cellStyle name="Normal 3 3 6 3" xfId="1407" xr:uid="{00000000-0005-0000-0000-000023000000}"/>
    <cellStyle name="Normal 3 3 6 3 2" xfId="4402" xr:uid="{00000000-0005-0000-0000-000023000000}"/>
    <cellStyle name="Normal 3 3 6 4" xfId="610" xr:uid="{00000000-0005-0000-0000-000023000000}"/>
    <cellStyle name="Normal 3 3 6 4 2" xfId="3609" xr:uid="{00000000-0005-0000-0000-000023000000}"/>
    <cellStyle name="Normal 3 3 6 5" xfId="2462" xr:uid="{00000000-0005-0000-0000-000023000000}"/>
    <cellStyle name="Normal 3 3 6 5 2" xfId="5456" xr:uid="{00000000-0005-0000-0000-000023000000}"/>
    <cellStyle name="Normal 3 3 6 6" xfId="3233" xr:uid="{00000000-0005-0000-0000-000023000000}"/>
    <cellStyle name="Normal 3 3 7" xfId="355" xr:uid="{00000000-0005-0000-0000-000023000000}"/>
    <cellStyle name="Normal 3 3 7 2" xfId="1152" xr:uid="{00000000-0005-0000-0000-000023000000}"/>
    <cellStyle name="Normal 3 3 7 2 2" xfId="4147" xr:uid="{00000000-0005-0000-0000-000023000000}"/>
    <cellStyle name="Normal 3 3 7 3" xfId="1592" xr:uid="{00000000-0005-0000-0000-000023000000}"/>
    <cellStyle name="Normal 3 3 7 3 2" xfId="4587" xr:uid="{00000000-0005-0000-0000-000023000000}"/>
    <cellStyle name="Normal 3 3 7 4" xfId="798" xr:uid="{00000000-0005-0000-0000-000023000000}"/>
    <cellStyle name="Normal 3 3 7 4 2" xfId="3794" xr:uid="{00000000-0005-0000-0000-000023000000}"/>
    <cellStyle name="Normal 3 3 7 5" xfId="2983" xr:uid="{00000000-0005-0000-0000-000023000000}"/>
    <cellStyle name="Normal 3 3 7 5 2" xfId="5977" xr:uid="{00000000-0005-0000-0000-000023000000}"/>
    <cellStyle name="Normal 3 3 7 6" xfId="3378" xr:uid="{00000000-0005-0000-0000-000023000000}"/>
    <cellStyle name="Normal 3 3 8" xfId="962" xr:uid="{00000000-0005-0000-0000-000023000000}"/>
    <cellStyle name="Normal 3 3 8 2" xfId="2648" xr:uid="{00000000-0005-0000-0000-000023000000}"/>
    <cellStyle name="Normal 3 3 8 2 2" xfId="5642" xr:uid="{00000000-0005-0000-0000-000023000000}"/>
    <cellStyle name="Normal 3 3 8 3" xfId="3957" xr:uid="{00000000-0005-0000-0000-000023000000}"/>
    <cellStyle name="Normal 3 3 9" xfId="1257" xr:uid="{00000000-0005-0000-0000-000023000000}"/>
    <cellStyle name="Normal 3 3 9 2" xfId="4252" xr:uid="{00000000-0005-0000-0000-000023000000}"/>
    <cellStyle name="Normal 3 4" xfId="92" xr:uid="{00000000-0005-0000-0000-000020000000}"/>
    <cellStyle name="Normal 3 4 2" xfId="169" xr:uid="{00000000-0005-0000-0000-000020000000}"/>
    <cellStyle name="Normal 3 4 2 2" xfId="314" xr:uid="{00000000-0005-0000-0000-000020000000}"/>
    <cellStyle name="Normal 3 4 2 2 2" xfId="1077" xr:uid="{00000000-0005-0000-0000-000020000000}"/>
    <cellStyle name="Normal 3 4 2 2 2 2" xfId="4072" xr:uid="{00000000-0005-0000-0000-000020000000}"/>
    <cellStyle name="Normal 3 4 2 2 3" xfId="2827" xr:uid="{00000000-0005-0000-0000-000020000000}"/>
    <cellStyle name="Normal 3 4 2 2 3 2" xfId="5821" xr:uid="{00000000-0005-0000-0000-000020000000}"/>
    <cellStyle name="Normal 3 4 2 2 4" xfId="3337" xr:uid="{00000000-0005-0000-0000-000020000000}"/>
    <cellStyle name="Normal 3 4 2 3" xfId="1436" xr:uid="{00000000-0005-0000-0000-000020000000}"/>
    <cellStyle name="Normal 3 4 2 3 2" xfId="4431" xr:uid="{00000000-0005-0000-0000-000020000000}"/>
    <cellStyle name="Normal 3 4 2 4" xfId="639" xr:uid="{00000000-0005-0000-0000-000020000000}"/>
    <cellStyle name="Normal 3 4 2 4 2" xfId="3638" xr:uid="{00000000-0005-0000-0000-000020000000}"/>
    <cellStyle name="Normal 3 4 2 5" xfId="2491" xr:uid="{00000000-0005-0000-0000-000020000000}"/>
    <cellStyle name="Normal 3 4 2 5 2" xfId="5485" xr:uid="{00000000-0005-0000-0000-000020000000}"/>
    <cellStyle name="Normal 3 4 2 6" xfId="3192" xr:uid="{00000000-0005-0000-0000-000020000000}"/>
    <cellStyle name="Normal 3 4 3" xfId="239" xr:uid="{00000000-0005-0000-0000-000020000000}"/>
    <cellStyle name="Normal 3 4 3 2" xfId="1009" xr:uid="{00000000-0005-0000-0000-000020000000}"/>
    <cellStyle name="Normal 3 4 3 2 2" xfId="4004" xr:uid="{00000000-0005-0000-0000-000020000000}"/>
    <cellStyle name="Normal 3 4 3 3" xfId="2756" xr:uid="{00000000-0005-0000-0000-000020000000}"/>
    <cellStyle name="Normal 3 4 3 3 2" xfId="5750" xr:uid="{00000000-0005-0000-0000-000020000000}"/>
    <cellStyle name="Normal 3 4 3 4" xfId="3262" xr:uid="{00000000-0005-0000-0000-000020000000}"/>
    <cellStyle name="Normal 3 4 4" xfId="384" xr:uid="{00000000-0005-0000-0000-000020000000}"/>
    <cellStyle name="Normal 3 4 4 2" xfId="1365" xr:uid="{00000000-0005-0000-0000-000020000000}"/>
    <cellStyle name="Normal 3 4 4 2 2" xfId="4360" xr:uid="{00000000-0005-0000-0000-000020000000}"/>
    <cellStyle name="Normal 3 4 4 3" xfId="3407" xr:uid="{00000000-0005-0000-0000-000020000000}"/>
    <cellStyle name="Normal 3 4 5" xfId="568" xr:uid="{00000000-0005-0000-0000-000020000000}"/>
    <cellStyle name="Normal 3 4 5 2" xfId="3567" xr:uid="{00000000-0005-0000-0000-000020000000}"/>
    <cellStyle name="Normal 3 4 6" xfId="2419" xr:uid="{00000000-0005-0000-0000-000020000000}"/>
    <cellStyle name="Normal 3 4 6 2" xfId="5413" xr:uid="{00000000-0005-0000-0000-000020000000}"/>
    <cellStyle name="Normal 3 4 7" xfId="3117" xr:uid="{00000000-0005-0000-0000-000020000000}"/>
    <cellStyle name="Normal 3 5" xfId="112" xr:uid="{00000000-0005-0000-0000-000020000000}"/>
    <cellStyle name="Normal 3 5 2" xfId="186" xr:uid="{00000000-0005-0000-0000-000020000000}"/>
    <cellStyle name="Normal 3 5 2 2" xfId="331" xr:uid="{00000000-0005-0000-0000-000020000000}"/>
    <cellStyle name="Normal 3 5 2 2 2" xfId="1095" xr:uid="{00000000-0005-0000-0000-000020000000}"/>
    <cellStyle name="Normal 3 5 2 2 2 2" xfId="4090" xr:uid="{00000000-0005-0000-0000-000020000000}"/>
    <cellStyle name="Normal 3 5 2 2 3" xfId="2845" xr:uid="{00000000-0005-0000-0000-000020000000}"/>
    <cellStyle name="Normal 3 5 2 2 3 2" xfId="5839" xr:uid="{00000000-0005-0000-0000-000020000000}"/>
    <cellStyle name="Normal 3 5 2 2 4" xfId="3354" xr:uid="{00000000-0005-0000-0000-000020000000}"/>
    <cellStyle name="Normal 3 5 2 3" xfId="1454" xr:uid="{00000000-0005-0000-0000-000020000000}"/>
    <cellStyle name="Normal 3 5 2 3 2" xfId="4449" xr:uid="{00000000-0005-0000-0000-000020000000}"/>
    <cellStyle name="Normal 3 5 2 4" xfId="657" xr:uid="{00000000-0005-0000-0000-000020000000}"/>
    <cellStyle name="Normal 3 5 2 4 2" xfId="3656" xr:uid="{00000000-0005-0000-0000-000020000000}"/>
    <cellStyle name="Normal 3 5 2 5" xfId="2509" xr:uid="{00000000-0005-0000-0000-000020000000}"/>
    <cellStyle name="Normal 3 5 2 5 2" xfId="5503" xr:uid="{00000000-0005-0000-0000-000020000000}"/>
    <cellStyle name="Normal 3 5 2 6" xfId="3209" xr:uid="{00000000-0005-0000-0000-000020000000}"/>
    <cellStyle name="Normal 3 5 3" xfId="257" xr:uid="{00000000-0005-0000-0000-000020000000}"/>
    <cellStyle name="Normal 3 5 3 2" xfId="1025" xr:uid="{00000000-0005-0000-0000-000020000000}"/>
    <cellStyle name="Normal 3 5 3 2 2" xfId="4020" xr:uid="{00000000-0005-0000-0000-000020000000}"/>
    <cellStyle name="Normal 3 5 3 3" xfId="2773" xr:uid="{00000000-0005-0000-0000-000020000000}"/>
    <cellStyle name="Normal 3 5 3 3 2" xfId="5767" xr:uid="{00000000-0005-0000-0000-000020000000}"/>
    <cellStyle name="Normal 3 5 3 4" xfId="3280" xr:uid="{00000000-0005-0000-0000-000020000000}"/>
    <cellStyle name="Normal 3 5 4" xfId="402" xr:uid="{00000000-0005-0000-0000-000020000000}"/>
    <cellStyle name="Normal 3 5 4 2" xfId="1382" xr:uid="{00000000-0005-0000-0000-000020000000}"/>
    <cellStyle name="Normal 3 5 4 2 2" xfId="4377" xr:uid="{00000000-0005-0000-0000-000020000000}"/>
    <cellStyle name="Normal 3 5 4 3" xfId="3425" xr:uid="{00000000-0005-0000-0000-000020000000}"/>
    <cellStyle name="Normal 3 5 5" xfId="585" xr:uid="{00000000-0005-0000-0000-000020000000}"/>
    <cellStyle name="Normal 3 5 5 2" xfId="3584" xr:uid="{00000000-0005-0000-0000-000020000000}"/>
    <cellStyle name="Normal 3 5 6" xfId="2437" xr:uid="{00000000-0005-0000-0000-000020000000}"/>
    <cellStyle name="Normal 3 5 6 2" xfId="5431" xr:uid="{00000000-0005-0000-0000-000020000000}"/>
    <cellStyle name="Normal 3 5 7" xfId="3135" xr:uid="{00000000-0005-0000-0000-000020000000}"/>
    <cellStyle name="Normal 3 6" xfId="73" xr:uid="{00000000-0005-0000-0000-000020000000}"/>
    <cellStyle name="Normal 3 6 2" xfId="152" xr:uid="{00000000-0005-0000-0000-000020000000}"/>
    <cellStyle name="Normal 3 6 2 2" xfId="297" xr:uid="{00000000-0005-0000-0000-000020000000}"/>
    <cellStyle name="Normal 3 6 2 2 2" xfId="1059" xr:uid="{00000000-0005-0000-0000-000020000000}"/>
    <cellStyle name="Normal 3 6 2 2 2 2" xfId="4054" xr:uid="{00000000-0005-0000-0000-000020000000}"/>
    <cellStyle name="Normal 3 6 2 2 3" xfId="2809" xr:uid="{00000000-0005-0000-0000-000020000000}"/>
    <cellStyle name="Normal 3 6 2 2 3 2" xfId="5803" xr:uid="{00000000-0005-0000-0000-000020000000}"/>
    <cellStyle name="Normal 3 6 2 2 4" xfId="3320" xr:uid="{00000000-0005-0000-0000-000020000000}"/>
    <cellStyle name="Normal 3 6 2 3" xfId="1418" xr:uid="{00000000-0005-0000-0000-000020000000}"/>
    <cellStyle name="Normal 3 6 2 3 2" xfId="4413" xr:uid="{00000000-0005-0000-0000-000020000000}"/>
    <cellStyle name="Normal 3 6 2 4" xfId="621" xr:uid="{00000000-0005-0000-0000-000020000000}"/>
    <cellStyle name="Normal 3 6 2 4 2" xfId="3620" xr:uid="{00000000-0005-0000-0000-000020000000}"/>
    <cellStyle name="Normal 3 6 2 5" xfId="2473" xr:uid="{00000000-0005-0000-0000-000020000000}"/>
    <cellStyle name="Normal 3 6 2 5 2" xfId="5467" xr:uid="{00000000-0005-0000-0000-000020000000}"/>
    <cellStyle name="Normal 3 6 2 6" xfId="3175" xr:uid="{00000000-0005-0000-0000-000020000000}"/>
    <cellStyle name="Normal 3 6 3" xfId="221" xr:uid="{00000000-0005-0000-0000-000020000000}"/>
    <cellStyle name="Normal 3 6 3 2" xfId="993" xr:uid="{00000000-0005-0000-0000-000020000000}"/>
    <cellStyle name="Normal 3 6 3 2 2" xfId="3988" xr:uid="{00000000-0005-0000-0000-000020000000}"/>
    <cellStyle name="Normal 3 6 3 3" xfId="2738" xr:uid="{00000000-0005-0000-0000-000020000000}"/>
    <cellStyle name="Normal 3 6 3 3 2" xfId="5732" xr:uid="{00000000-0005-0000-0000-000020000000}"/>
    <cellStyle name="Normal 3 6 3 4" xfId="3244" xr:uid="{00000000-0005-0000-0000-000020000000}"/>
    <cellStyle name="Normal 3 6 4" xfId="366" xr:uid="{00000000-0005-0000-0000-000020000000}"/>
    <cellStyle name="Normal 3 6 4 2" xfId="1347" xr:uid="{00000000-0005-0000-0000-000020000000}"/>
    <cellStyle name="Normal 3 6 4 2 2" xfId="4342" xr:uid="{00000000-0005-0000-0000-000020000000}"/>
    <cellStyle name="Normal 3 6 4 3" xfId="3389" xr:uid="{00000000-0005-0000-0000-000020000000}"/>
    <cellStyle name="Normal 3 6 5" xfId="550" xr:uid="{00000000-0005-0000-0000-000020000000}"/>
    <cellStyle name="Normal 3 6 5 2" xfId="3549" xr:uid="{00000000-0005-0000-0000-000020000000}"/>
    <cellStyle name="Normal 3 6 6" xfId="2401" xr:uid="{00000000-0005-0000-0000-000020000000}"/>
    <cellStyle name="Normal 3 6 6 2" xfId="5395" xr:uid="{00000000-0005-0000-0000-000020000000}"/>
    <cellStyle name="Normal 3 6 7" xfId="3099" xr:uid="{00000000-0005-0000-0000-000020000000}"/>
    <cellStyle name="Normal 3 7" xfId="136" xr:uid="{00000000-0005-0000-0000-000020000000}"/>
    <cellStyle name="Normal 3 7 2" xfId="281" xr:uid="{00000000-0005-0000-0000-000020000000}"/>
    <cellStyle name="Normal 3 7 2 2" xfId="1118" xr:uid="{00000000-0005-0000-0000-000020000000}"/>
    <cellStyle name="Normal 3 7 2 2 2" xfId="4113" xr:uid="{00000000-0005-0000-0000-000020000000}"/>
    <cellStyle name="Normal 3 7 2 3" xfId="2871" xr:uid="{00000000-0005-0000-0000-000020000000}"/>
    <cellStyle name="Normal 3 7 2 3 2" xfId="5865" xr:uid="{00000000-0005-0000-0000-000020000000}"/>
    <cellStyle name="Normal 3 7 2 4" xfId="3304" xr:uid="{00000000-0005-0000-0000-000020000000}"/>
    <cellStyle name="Normal 3 7 3" xfId="1480" xr:uid="{00000000-0005-0000-0000-000020000000}"/>
    <cellStyle name="Normal 3 7 3 2" xfId="4475" xr:uid="{00000000-0005-0000-0000-000020000000}"/>
    <cellStyle name="Normal 3 7 4" xfId="685" xr:uid="{00000000-0005-0000-0000-000020000000}"/>
    <cellStyle name="Normal 3 7 4 2" xfId="3682" xr:uid="{00000000-0005-0000-0000-000020000000}"/>
    <cellStyle name="Normal 3 7 5" xfId="2536" xr:uid="{00000000-0005-0000-0000-000020000000}"/>
    <cellStyle name="Normal 3 7 5 2" xfId="5530" xr:uid="{00000000-0005-0000-0000-000020000000}"/>
    <cellStyle name="Normal 3 7 6" xfId="3159" xr:uid="{00000000-0005-0000-0000-000020000000}"/>
    <cellStyle name="Normal 3 8" xfId="203" xr:uid="{00000000-0005-0000-0000-000020000000}"/>
    <cellStyle name="Normal 3 8 2" xfId="1041" xr:uid="{00000000-0005-0000-0000-000020000000}"/>
    <cellStyle name="Normal 3 8 2 2" xfId="2791" xr:uid="{00000000-0005-0000-0000-000020000000}"/>
    <cellStyle name="Normal 3 8 2 2 2" xfId="5785" xr:uid="{00000000-0005-0000-0000-000020000000}"/>
    <cellStyle name="Normal 3 8 2 3" xfId="4036" xr:uid="{00000000-0005-0000-0000-000020000000}"/>
    <cellStyle name="Normal 3 8 3" xfId="1400" xr:uid="{00000000-0005-0000-0000-000020000000}"/>
    <cellStyle name="Normal 3 8 3 2" xfId="4395" xr:uid="{00000000-0005-0000-0000-000020000000}"/>
    <cellStyle name="Normal 3 8 4" xfId="603" xr:uid="{00000000-0005-0000-0000-000020000000}"/>
    <cellStyle name="Normal 3 8 4 2" xfId="3602" xr:uid="{00000000-0005-0000-0000-000020000000}"/>
    <cellStyle name="Normal 3 8 5" xfId="2455" xr:uid="{00000000-0005-0000-0000-000020000000}"/>
    <cellStyle name="Normal 3 8 5 2" xfId="5449" xr:uid="{00000000-0005-0000-0000-000020000000}"/>
    <cellStyle name="Normal 3 8 6" xfId="3226" xr:uid="{00000000-0005-0000-0000-000020000000}"/>
    <cellStyle name="Normal 3 9" xfId="348" xr:uid="{00000000-0005-0000-0000-000020000000}"/>
    <cellStyle name="Normal 3 9 2" xfId="1145" xr:uid="{00000000-0005-0000-0000-000020000000}"/>
    <cellStyle name="Normal 3 9 2 2" xfId="4140" xr:uid="{00000000-0005-0000-0000-000020000000}"/>
    <cellStyle name="Normal 3 9 3" xfId="1585" xr:uid="{00000000-0005-0000-0000-000020000000}"/>
    <cellStyle name="Normal 3 9 3 2" xfId="4580" xr:uid="{00000000-0005-0000-0000-000020000000}"/>
    <cellStyle name="Normal 3 9 4" xfId="791" xr:uid="{00000000-0005-0000-0000-000020000000}"/>
    <cellStyle name="Normal 3 9 4 2" xfId="3787" xr:uid="{00000000-0005-0000-0000-000020000000}"/>
    <cellStyle name="Normal 3 9 5" xfId="2976" xr:uid="{00000000-0005-0000-0000-000020000000}"/>
    <cellStyle name="Normal 3 9 5 2" xfId="5970" xr:uid="{00000000-0005-0000-0000-000020000000}"/>
    <cellStyle name="Normal 3 9 6" xfId="3371" xr:uid="{00000000-0005-0000-0000-000020000000}"/>
    <cellStyle name="Normal 4" xfId="13" xr:uid="{00000000-0005-0000-0000-000024000000}"/>
    <cellStyle name="Normal 4 10" xfId="897" xr:uid="{00000000-0005-0000-0000-000024000000}"/>
    <cellStyle name="Normal 4 10 2" xfId="2642" xr:uid="{00000000-0005-0000-0000-000024000000}"/>
    <cellStyle name="Normal 4 10 2 2" xfId="5636" xr:uid="{00000000-0005-0000-0000-000024000000}"/>
    <cellStyle name="Normal 4 10 3" xfId="3893" xr:uid="{00000000-0005-0000-0000-000024000000}"/>
    <cellStyle name="Normal 4 11" xfId="1251" xr:uid="{00000000-0005-0000-0000-000024000000}"/>
    <cellStyle name="Normal 4 11 2" xfId="4246" xr:uid="{00000000-0005-0000-0000-000024000000}"/>
    <cellStyle name="Normal 4 12" xfId="447" xr:uid="{00000000-0005-0000-0000-000024000000}"/>
    <cellStyle name="Normal 4 12 2" xfId="3454" xr:uid="{00000000-0005-0000-0000-000024000000}"/>
    <cellStyle name="Normal 4 13" xfId="2384" xr:uid="{00000000-0005-0000-0000-000024000000}"/>
    <cellStyle name="Normal 4 13 2" xfId="5378" xr:uid="{00000000-0005-0000-0000-000024000000}"/>
    <cellStyle name="Normal 4 14" xfId="3082" xr:uid="{00000000-0005-0000-0000-000024000000}"/>
    <cellStyle name="Normal 4 2" xfId="15" xr:uid="{00000000-0005-0000-0000-000025000000}"/>
    <cellStyle name="Normal 4 2 10" xfId="1253" xr:uid="{00000000-0005-0000-0000-000025000000}"/>
    <cellStyle name="Normal 4 2 10 2" xfId="4248" xr:uid="{00000000-0005-0000-0000-000025000000}"/>
    <cellStyle name="Normal 4 2 11" xfId="449" xr:uid="{00000000-0005-0000-0000-000025000000}"/>
    <cellStyle name="Normal 4 2 11 2" xfId="3456" xr:uid="{00000000-0005-0000-0000-000025000000}"/>
    <cellStyle name="Normal 4 2 12" xfId="2386" xr:uid="{00000000-0005-0000-0000-000025000000}"/>
    <cellStyle name="Normal 4 2 12 2" xfId="5380" xr:uid="{00000000-0005-0000-0000-000025000000}"/>
    <cellStyle name="Normal 4 2 13" xfId="3084" xr:uid="{00000000-0005-0000-0000-000025000000}"/>
    <cellStyle name="Normal 4 2 2" xfId="62" xr:uid="{00000000-0005-0000-0000-000026000000}"/>
    <cellStyle name="Normal 4 2 2 10" xfId="459" xr:uid="{00000000-0005-0000-0000-000026000000}"/>
    <cellStyle name="Normal 4 2 2 10 2" xfId="3463" xr:uid="{00000000-0005-0000-0000-000026000000}"/>
    <cellStyle name="Normal 4 2 2 11" xfId="2393" xr:uid="{00000000-0005-0000-0000-000026000000}"/>
    <cellStyle name="Normal 4 2 2 11 2" xfId="5387" xr:uid="{00000000-0005-0000-0000-000026000000}"/>
    <cellStyle name="Normal 4 2 2 12" xfId="3091" xr:uid="{00000000-0005-0000-0000-000026000000}"/>
    <cellStyle name="Normal 4 2 2 2" xfId="102" xr:uid="{00000000-0005-0000-0000-000026000000}"/>
    <cellStyle name="Normal 4 2 2 2 2" xfId="178" xr:uid="{00000000-0005-0000-0000-000026000000}"/>
    <cellStyle name="Normal 4 2 2 2 2 2" xfId="323" xr:uid="{00000000-0005-0000-0000-000026000000}"/>
    <cellStyle name="Normal 4 2 2 2 2 2 2" xfId="1087" xr:uid="{00000000-0005-0000-0000-000026000000}"/>
    <cellStyle name="Normal 4 2 2 2 2 2 2 2" xfId="4082" xr:uid="{00000000-0005-0000-0000-000026000000}"/>
    <cellStyle name="Normal 4 2 2 2 2 2 3" xfId="2837" xr:uid="{00000000-0005-0000-0000-000026000000}"/>
    <cellStyle name="Normal 4 2 2 2 2 2 3 2" xfId="5831" xr:uid="{00000000-0005-0000-0000-000026000000}"/>
    <cellStyle name="Normal 4 2 2 2 2 2 4" xfId="3346" xr:uid="{00000000-0005-0000-0000-000026000000}"/>
    <cellStyle name="Normal 4 2 2 2 2 3" xfId="1446" xr:uid="{00000000-0005-0000-0000-000026000000}"/>
    <cellStyle name="Normal 4 2 2 2 2 3 2" xfId="4441" xr:uid="{00000000-0005-0000-0000-000026000000}"/>
    <cellStyle name="Normal 4 2 2 2 2 4" xfId="649" xr:uid="{00000000-0005-0000-0000-000026000000}"/>
    <cellStyle name="Normal 4 2 2 2 2 4 2" xfId="3648" xr:uid="{00000000-0005-0000-0000-000026000000}"/>
    <cellStyle name="Normal 4 2 2 2 2 5" xfId="2501" xr:uid="{00000000-0005-0000-0000-000026000000}"/>
    <cellStyle name="Normal 4 2 2 2 2 5 2" xfId="5495" xr:uid="{00000000-0005-0000-0000-000026000000}"/>
    <cellStyle name="Normal 4 2 2 2 2 6" xfId="3201" xr:uid="{00000000-0005-0000-0000-000026000000}"/>
    <cellStyle name="Normal 4 2 2 2 3" xfId="249" xr:uid="{00000000-0005-0000-0000-000026000000}"/>
    <cellStyle name="Normal 4 2 2 2 3 2" xfId="1018" xr:uid="{00000000-0005-0000-0000-000026000000}"/>
    <cellStyle name="Normal 4 2 2 2 3 2 2" xfId="4013" xr:uid="{00000000-0005-0000-0000-000026000000}"/>
    <cellStyle name="Normal 4 2 2 2 3 3" xfId="2765" xr:uid="{00000000-0005-0000-0000-000026000000}"/>
    <cellStyle name="Normal 4 2 2 2 3 3 2" xfId="5759" xr:uid="{00000000-0005-0000-0000-000026000000}"/>
    <cellStyle name="Normal 4 2 2 2 3 4" xfId="3272" xr:uid="{00000000-0005-0000-0000-000026000000}"/>
    <cellStyle name="Normal 4 2 2 2 4" xfId="394" xr:uid="{00000000-0005-0000-0000-000026000000}"/>
    <cellStyle name="Normal 4 2 2 2 4 2" xfId="1374" xr:uid="{00000000-0005-0000-0000-000026000000}"/>
    <cellStyle name="Normal 4 2 2 2 4 2 2" xfId="4369" xr:uid="{00000000-0005-0000-0000-000026000000}"/>
    <cellStyle name="Normal 4 2 2 2 4 3" xfId="3417" xr:uid="{00000000-0005-0000-0000-000026000000}"/>
    <cellStyle name="Normal 4 2 2 2 5" xfId="577" xr:uid="{00000000-0005-0000-0000-000026000000}"/>
    <cellStyle name="Normal 4 2 2 2 5 2" xfId="3576" xr:uid="{00000000-0005-0000-0000-000026000000}"/>
    <cellStyle name="Normal 4 2 2 2 6" xfId="2429" xr:uid="{00000000-0005-0000-0000-000026000000}"/>
    <cellStyle name="Normal 4 2 2 2 6 2" xfId="5423" xr:uid="{00000000-0005-0000-0000-000026000000}"/>
    <cellStyle name="Normal 4 2 2 2 7" xfId="3127" xr:uid="{00000000-0005-0000-0000-000026000000}"/>
    <cellStyle name="Normal 4 2 2 3" xfId="122" xr:uid="{00000000-0005-0000-0000-000026000000}"/>
    <cellStyle name="Normal 4 2 2 3 2" xfId="195" xr:uid="{00000000-0005-0000-0000-000026000000}"/>
    <cellStyle name="Normal 4 2 2 3 2 2" xfId="340" xr:uid="{00000000-0005-0000-0000-000026000000}"/>
    <cellStyle name="Normal 4 2 2 3 2 2 2" xfId="1105" xr:uid="{00000000-0005-0000-0000-000026000000}"/>
    <cellStyle name="Normal 4 2 2 3 2 2 2 2" xfId="4100" xr:uid="{00000000-0005-0000-0000-000026000000}"/>
    <cellStyle name="Normal 4 2 2 3 2 2 3" xfId="2855" xr:uid="{00000000-0005-0000-0000-000026000000}"/>
    <cellStyle name="Normal 4 2 2 3 2 2 3 2" xfId="5849" xr:uid="{00000000-0005-0000-0000-000026000000}"/>
    <cellStyle name="Normal 4 2 2 3 2 2 4" xfId="3363" xr:uid="{00000000-0005-0000-0000-000026000000}"/>
    <cellStyle name="Normal 4 2 2 3 2 3" xfId="1464" xr:uid="{00000000-0005-0000-0000-000026000000}"/>
    <cellStyle name="Normal 4 2 2 3 2 3 2" xfId="4459" xr:uid="{00000000-0005-0000-0000-000026000000}"/>
    <cellStyle name="Normal 4 2 2 3 2 4" xfId="667" xr:uid="{00000000-0005-0000-0000-000026000000}"/>
    <cellStyle name="Normal 4 2 2 3 2 4 2" xfId="3666" xr:uid="{00000000-0005-0000-0000-000026000000}"/>
    <cellStyle name="Normal 4 2 2 3 2 5" xfId="2519" xr:uid="{00000000-0005-0000-0000-000026000000}"/>
    <cellStyle name="Normal 4 2 2 3 2 5 2" xfId="5513" xr:uid="{00000000-0005-0000-0000-000026000000}"/>
    <cellStyle name="Normal 4 2 2 3 2 6" xfId="3218" xr:uid="{00000000-0005-0000-0000-000026000000}"/>
    <cellStyle name="Normal 4 2 2 3 3" xfId="267" xr:uid="{00000000-0005-0000-0000-000026000000}"/>
    <cellStyle name="Normal 4 2 2 3 3 2" xfId="1034" xr:uid="{00000000-0005-0000-0000-000026000000}"/>
    <cellStyle name="Normal 4 2 2 3 3 2 2" xfId="4029" xr:uid="{00000000-0005-0000-0000-000026000000}"/>
    <cellStyle name="Normal 4 2 2 3 3 3" xfId="2783" xr:uid="{00000000-0005-0000-0000-000026000000}"/>
    <cellStyle name="Normal 4 2 2 3 3 3 2" xfId="5777" xr:uid="{00000000-0005-0000-0000-000026000000}"/>
    <cellStyle name="Normal 4 2 2 3 3 4" xfId="3290" xr:uid="{00000000-0005-0000-0000-000026000000}"/>
    <cellStyle name="Normal 4 2 2 3 4" xfId="412" xr:uid="{00000000-0005-0000-0000-000026000000}"/>
    <cellStyle name="Normal 4 2 2 3 4 2" xfId="1392" xr:uid="{00000000-0005-0000-0000-000026000000}"/>
    <cellStyle name="Normal 4 2 2 3 4 2 2" xfId="4387" xr:uid="{00000000-0005-0000-0000-000026000000}"/>
    <cellStyle name="Normal 4 2 2 3 4 3" xfId="3435" xr:uid="{00000000-0005-0000-0000-000026000000}"/>
    <cellStyle name="Normal 4 2 2 3 5" xfId="595" xr:uid="{00000000-0005-0000-0000-000026000000}"/>
    <cellStyle name="Normal 4 2 2 3 5 2" xfId="3594" xr:uid="{00000000-0005-0000-0000-000026000000}"/>
    <cellStyle name="Normal 4 2 2 3 6" xfId="2447" xr:uid="{00000000-0005-0000-0000-000026000000}"/>
    <cellStyle name="Normal 4 2 2 3 6 2" xfId="5441" xr:uid="{00000000-0005-0000-0000-000026000000}"/>
    <cellStyle name="Normal 4 2 2 3 7" xfId="3145" xr:uid="{00000000-0005-0000-0000-000026000000}"/>
    <cellStyle name="Normal 4 2 2 4" xfId="83" xr:uid="{00000000-0005-0000-0000-000026000000}"/>
    <cellStyle name="Normal 4 2 2 4 2" xfId="161" xr:uid="{00000000-0005-0000-0000-000026000000}"/>
    <cellStyle name="Normal 4 2 2 4 2 2" xfId="306" xr:uid="{00000000-0005-0000-0000-000026000000}"/>
    <cellStyle name="Normal 4 2 2 4 2 2 2" xfId="1069" xr:uid="{00000000-0005-0000-0000-000026000000}"/>
    <cellStyle name="Normal 4 2 2 4 2 2 2 2" xfId="4064" xr:uid="{00000000-0005-0000-0000-000026000000}"/>
    <cellStyle name="Normal 4 2 2 4 2 2 3" xfId="2819" xr:uid="{00000000-0005-0000-0000-000026000000}"/>
    <cellStyle name="Normal 4 2 2 4 2 2 3 2" xfId="5813" xr:uid="{00000000-0005-0000-0000-000026000000}"/>
    <cellStyle name="Normal 4 2 2 4 2 2 4" xfId="3329" xr:uid="{00000000-0005-0000-0000-000026000000}"/>
    <cellStyle name="Normal 4 2 2 4 2 3" xfId="1428" xr:uid="{00000000-0005-0000-0000-000026000000}"/>
    <cellStyle name="Normal 4 2 2 4 2 3 2" xfId="4423" xr:uid="{00000000-0005-0000-0000-000026000000}"/>
    <cellStyle name="Normal 4 2 2 4 2 4" xfId="631" xr:uid="{00000000-0005-0000-0000-000026000000}"/>
    <cellStyle name="Normal 4 2 2 4 2 4 2" xfId="3630" xr:uid="{00000000-0005-0000-0000-000026000000}"/>
    <cellStyle name="Normal 4 2 2 4 2 5" xfId="2483" xr:uid="{00000000-0005-0000-0000-000026000000}"/>
    <cellStyle name="Normal 4 2 2 4 2 5 2" xfId="5477" xr:uid="{00000000-0005-0000-0000-000026000000}"/>
    <cellStyle name="Normal 4 2 2 4 2 6" xfId="3184" xr:uid="{00000000-0005-0000-0000-000026000000}"/>
    <cellStyle name="Normal 4 2 2 4 3" xfId="231" xr:uid="{00000000-0005-0000-0000-000026000000}"/>
    <cellStyle name="Normal 4 2 2 4 3 2" xfId="1002" xr:uid="{00000000-0005-0000-0000-000026000000}"/>
    <cellStyle name="Normal 4 2 2 4 3 2 2" xfId="3997" xr:uid="{00000000-0005-0000-0000-000026000000}"/>
    <cellStyle name="Normal 4 2 2 4 3 3" xfId="2748" xr:uid="{00000000-0005-0000-0000-000026000000}"/>
    <cellStyle name="Normal 4 2 2 4 3 3 2" xfId="5742" xr:uid="{00000000-0005-0000-0000-000026000000}"/>
    <cellStyle name="Normal 4 2 2 4 3 4" xfId="3254" xr:uid="{00000000-0005-0000-0000-000026000000}"/>
    <cellStyle name="Normal 4 2 2 4 4" xfId="376" xr:uid="{00000000-0005-0000-0000-000026000000}"/>
    <cellStyle name="Normal 4 2 2 4 4 2" xfId="1357" xr:uid="{00000000-0005-0000-0000-000026000000}"/>
    <cellStyle name="Normal 4 2 2 4 4 2 2" xfId="4352" xr:uid="{00000000-0005-0000-0000-000026000000}"/>
    <cellStyle name="Normal 4 2 2 4 4 3" xfId="3399" xr:uid="{00000000-0005-0000-0000-000026000000}"/>
    <cellStyle name="Normal 4 2 2 4 5" xfId="560" xr:uid="{00000000-0005-0000-0000-000026000000}"/>
    <cellStyle name="Normal 4 2 2 4 5 2" xfId="3559" xr:uid="{00000000-0005-0000-0000-000026000000}"/>
    <cellStyle name="Normal 4 2 2 4 6" xfId="2411" xr:uid="{00000000-0005-0000-0000-000026000000}"/>
    <cellStyle name="Normal 4 2 2 4 6 2" xfId="5405" xr:uid="{00000000-0005-0000-0000-000026000000}"/>
    <cellStyle name="Normal 4 2 2 4 7" xfId="3109" xr:uid="{00000000-0005-0000-0000-000026000000}"/>
    <cellStyle name="Normal 4 2 2 5" xfId="145" xr:uid="{00000000-0005-0000-0000-000026000000}"/>
    <cellStyle name="Normal 4 2 2 5 2" xfId="290" xr:uid="{00000000-0005-0000-0000-000026000000}"/>
    <cellStyle name="Normal 4 2 2 5 2 2" xfId="1128" xr:uid="{00000000-0005-0000-0000-000026000000}"/>
    <cellStyle name="Normal 4 2 2 5 2 2 2" xfId="4123" xr:uid="{00000000-0005-0000-0000-000026000000}"/>
    <cellStyle name="Normal 4 2 2 5 2 3" xfId="2881" xr:uid="{00000000-0005-0000-0000-000026000000}"/>
    <cellStyle name="Normal 4 2 2 5 2 3 2" xfId="5875" xr:uid="{00000000-0005-0000-0000-000026000000}"/>
    <cellStyle name="Normal 4 2 2 5 2 4" xfId="3313" xr:uid="{00000000-0005-0000-0000-000026000000}"/>
    <cellStyle name="Normal 4 2 2 5 3" xfId="1490" xr:uid="{00000000-0005-0000-0000-000026000000}"/>
    <cellStyle name="Normal 4 2 2 5 3 2" xfId="4485" xr:uid="{00000000-0005-0000-0000-000026000000}"/>
    <cellStyle name="Normal 4 2 2 5 4" xfId="695" xr:uid="{00000000-0005-0000-0000-000026000000}"/>
    <cellStyle name="Normal 4 2 2 5 4 2" xfId="3692" xr:uid="{00000000-0005-0000-0000-000026000000}"/>
    <cellStyle name="Normal 4 2 2 5 5" xfId="2546" xr:uid="{00000000-0005-0000-0000-000026000000}"/>
    <cellStyle name="Normal 4 2 2 5 5 2" xfId="5540" xr:uid="{00000000-0005-0000-0000-000026000000}"/>
    <cellStyle name="Normal 4 2 2 5 6" xfId="3168" xr:uid="{00000000-0005-0000-0000-000026000000}"/>
    <cellStyle name="Normal 4 2 2 6" xfId="213" xr:uid="{00000000-0005-0000-0000-000026000000}"/>
    <cellStyle name="Normal 4 2 2 6 2" xfId="1051" xr:uid="{00000000-0005-0000-0000-000026000000}"/>
    <cellStyle name="Normal 4 2 2 6 2 2" xfId="2801" xr:uid="{00000000-0005-0000-0000-000026000000}"/>
    <cellStyle name="Normal 4 2 2 6 2 2 2" xfId="5795" xr:uid="{00000000-0005-0000-0000-000026000000}"/>
    <cellStyle name="Normal 4 2 2 6 2 3" xfId="4046" xr:uid="{00000000-0005-0000-0000-000026000000}"/>
    <cellStyle name="Normal 4 2 2 6 3" xfId="1410" xr:uid="{00000000-0005-0000-0000-000026000000}"/>
    <cellStyle name="Normal 4 2 2 6 3 2" xfId="4405" xr:uid="{00000000-0005-0000-0000-000026000000}"/>
    <cellStyle name="Normal 4 2 2 6 4" xfId="613" xr:uid="{00000000-0005-0000-0000-000026000000}"/>
    <cellStyle name="Normal 4 2 2 6 4 2" xfId="3612" xr:uid="{00000000-0005-0000-0000-000026000000}"/>
    <cellStyle name="Normal 4 2 2 6 5" xfId="2465" xr:uid="{00000000-0005-0000-0000-000026000000}"/>
    <cellStyle name="Normal 4 2 2 6 5 2" xfId="5459" xr:uid="{00000000-0005-0000-0000-000026000000}"/>
    <cellStyle name="Normal 4 2 2 6 6" xfId="3236" xr:uid="{00000000-0005-0000-0000-000026000000}"/>
    <cellStyle name="Normal 4 2 2 7" xfId="358" xr:uid="{00000000-0005-0000-0000-000026000000}"/>
    <cellStyle name="Normal 4 2 2 7 2" xfId="1155" xr:uid="{00000000-0005-0000-0000-000026000000}"/>
    <cellStyle name="Normal 4 2 2 7 2 2" xfId="4150" xr:uid="{00000000-0005-0000-0000-000026000000}"/>
    <cellStyle name="Normal 4 2 2 7 3" xfId="1595" xr:uid="{00000000-0005-0000-0000-000026000000}"/>
    <cellStyle name="Normal 4 2 2 7 3 2" xfId="4590" xr:uid="{00000000-0005-0000-0000-000026000000}"/>
    <cellStyle name="Normal 4 2 2 7 4" xfId="801" xr:uid="{00000000-0005-0000-0000-000026000000}"/>
    <cellStyle name="Normal 4 2 2 7 4 2" xfId="3797" xr:uid="{00000000-0005-0000-0000-000026000000}"/>
    <cellStyle name="Normal 4 2 2 7 5" xfId="2986" xr:uid="{00000000-0005-0000-0000-000026000000}"/>
    <cellStyle name="Normal 4 2 2 7 5 2" xfId="5980" xr:uid="{00000000-0005-0000-0000-000026000000}"/>
    <cellStyle name="Normal 4 2 2 7 6" xfId="3381" xr:uid="{00000000-0005-0000-0000-000026000000}"/>
    <cellStyle name="Normal 4 2 2 8" xfId="931" xr:uid="{00000000-0005-0000-0000-000026000000}"/>
    <cellStyle name="Normal 4 2 2 8 2" xfId="2651" xr:uid="{00000000-0005-0000-0000-000026000000}"/>
    <cellStyle name="Normal 4 2 2 8 2 2" xfId="5645" xr:uid="{00000000-0005-0000-0000-000026000000}"/>
    <cellStyle name="Normal 4 2 2 8 3" xfId="3926" xr:uid="{00000000-0005-0000-0000-000026000000}"/>
    <cellStyle name="Normal 4 2 2 9" xfId="1260" xr:uid="{00000000-0005-0000-0000-000026000000}"/>
    <cellStyle name="Normal 4 2 2 9 2" xfId="4255" xr:uid="{00000000-0005-0000-0000-000026000000}"/>
    <cellStyle name="Normal 4 2 3" xfId="95" xr:uid="{00000000-0005-0000-0000-000025000000}"/>
    <cellStyle name="Normal 4 2 3 2" xfId="172" xr:uid="{00000000-0005-0000-0000-000025000000}"/>
    <cellStyle name="Normal 4 2 3 2 2" xfId="317" xr:uid="{00000000-0005-0000-0000-000025000000}"/>
    <cellStyle name="Normal 4 2 3 2 2 2" xfId="1080" xr:uid="{00000000-0005-0000-0000-000025000000}"/>
    <cellStyle name="Normal 4 2 3 2 2 2 2" xfId="4075" xr:uid="{00000000-0005-0000-0000-000025000000}"/>
    <cellStyle name="Normal 4 2 3 2 2 3" xfId="2830" xr:uid="{00000000-0005-0000-0000-000025000000}"/>
    <cellStyle name="Normal 4 2 3 2 2 3 2" xfId="5824" xr:uid="{00000000-0005-0000-0000-000025000000}"/>
    <cellStyle name="Normal 4 2 3 2 2 4" xfId="3340" xr:uid="{00000000-0005-0000-0000-000025000000}"/>
    <cellStyle name="Normal 4 2 3 2 3" xfId="1439" xr:uid="{00000000-0005-0000-0000-000025000000}"/>
    <cellStyle name="Normal 4 2 3 2 3 2" xfId="4434" xr:uid="{00000000-0005-0000-0000-000025000000}"/>
    <cellStyle name="Normal 4 2 3 2 4" xfId="642" xr:uid="{00000000-0005-0000-0000-000025000000}"/>
    <cellStyle name="Normal 4 2 3 2 4 2" xfId="3641" xr:uid="{00000000-0005-0000-0000-000025000000}"/>
    <cellStyle name="Normal 4 2 3 2 5" xfId="2494" xr:uid="{00000000-0005-0000-0000-000025000000}"/>
    <cellStyle name="Normal 4 2 3 2 5 2" xfId="5488" xr:uid="{00000000-0005-0000-0000-000025000000}"/>
    <cellStyle name="Normal 4 2 3 2 6" xfId="3195" xr:uid="{00000000-0005-0000-0000-000025000000}"/>
    <cellStyle name="Normal 4 2 3 3" xfId="242" xr:uid="{00000000-0005-0000-0000-000025000000}"/>
    <cellStyle name="Normal 4 2 3 3 2" xfId="1012" xr:uid="{00000000-0005-0000-0000-000025000000}"/>
    <cellStyle name="Normal 4 2 3 3 2 2" xfId="4007" xr:uid="{00000000-0005-0000-0000-000025000000}"/>
    <cellStyle name="Normal 4 2 3 3 3" xfId="2759" xr:uid="{00000000-0005-0000-0000-000025000000}"/>
    <cellStyle name="Normal 4 2 3 3 3 2" xfId="5753" xr:uid="{00000000-0005-0000-0000-000025000000}"/>
    <cellStyle name="Normal 4 2 3 3 4" xfId="3265" xr:uid="{00000000-0005-0000-0000-000025000000}"/>
    <cellStyle name="Normal 4 2 3 4" xfId="387" xr:uid="{00000000-0005-0000-0000-000025000000}"/>
    <cellStyle name="Normal 4 2 3 4 2" xfId="1368" xr:uid="{00000000-0005-0000-0000-000025000000}"/>
    <cellStyle name="Normal 4 2 3 4 2 2" xfId="4363" xr:uid="{00000000-0005-0000-0000-000025000000}"/>
    <cellStyle name="Normal 4 2 3 4 3" xfId="3410" xr:uid="{00000000-0005-0000-0000-000025000000}"/>
    <cellStyle name="Normal 4 2 3 5" xfId="571" xr:uid="{00000000-0005-0000-0000-000025000000}"/>
    <cellStyle name="Normal 4 2 3 5 2" xfId="3570" xr:uid="{00000000-0005-0000-0000-000025000000}"/>
    <cellStyle name="Normal 4 2 3 6" xfId="2422" xr:uid="{00000000-0005-0000-0000-000025000000}"/>
    <cellStyle name="Normal 4 2 3 6 2" xfId="5416" xr:uid="{00000000-0005-0000-0000-000025000000}"/>
    <cellStyle name="Normal 4 2 3 7" xfId="3120" xr:uid="{00000000-0005-0000-0000-000025000000}"/>
    <cellStyle name="Normal 4 2 4" xfId="115" xr:uid="{00000000-0005-0000-0000-000025000000}"/>
    <cellStyle name="Normal 4 2 4 2" xfId="189" xr:uid="{00000000-0005-0000-0000-000025000000}"/>
    <cellStyle name="Normal 4 2 4 2 2" xfId="334" xr:uid="{00000000-0005-0000-0000-000025000000}"/>
    <cellStyle name="Normal 4 2 4 2 2 2" xfId="1098" xr:uid="{00000000-0005-0000-0000-000025000000}"/>
    <cellStyle name="Normal 4 2 4 2 2 2 2" xfId="4093" xr:uid="{00000000-0005-0000-0000-000025000000}"/>
    <cellStyle name="Normal 4 2 4 2 2 3" xfId="2848" xr:uid="{00000000-0005-0000-0000-000025000000}"/>
    <cellStyle name="Normal 4 2 4 2 2 3 2" xfId="5842" xr:uid="{00000000-0005-0000-0000-000025000000}"/>
    <cellStyle name="Normal 4 2 4 2 2 4" xfId="3357" xr:uid="{00000000-0005-0000-0000-000025000000}"/>
    <cellStyle name="Normal 4 2 4 2 3" xfId="1457" xr:uid="{00000000-0005-0000-0000-000025000000}"/>
    <cellStyle name="Normal 4 2 4 2 3 2" xfId="4452" xr:uid="{00000000-0005-0000-0000-000025000000}"/>
    <cellStyle name="Normal 4 2 4 2 4" xfId="660" xr:uid="{00000000-0005-0000-0000-000025000000}"/>
    <cellStyle name="Normal 4 2 4 2 4 2" xfId="3659" xr:uid="{00000000-0005-0000-0000-000025000000}"/>
    <cellStyle name="Normal 4 2 4 2 5" xfId="2512" xr:uid="{00000000-0005-0000-0000-000025000000}"/>
    <cellStyle name="Normal 4 2 4 2 5 2" xfId="5506" xr:uid="{00000000-0005-0000-0000-000025000000}"/>
    <cellStyle name="Normal 4 2 4 2 6" xfId="3212" xr:uid="{00000000-0005-0000-0000-000025000000}"/>
    <cellStyle name="Normal 4 2 4 3" xfId="260" xr:uid="{00000000-0005-0000-0000-000025000000}"/>
    <cellStyle name="Normal 4 2 4 3 2" xfId="1028" xr:uid="{00000000-0005-0000-0000-000025000000}"/>
    <cellStyle name="Normal 4 2 4 3 2 2" xfId="4023" xr:uid="{00000000-0005-0000-0000-000025000000}"/>
    <cellStyle name="Normal 4 2 4 3 3" xfId="2776" xr:uid="{00000000-0005-0000-0000-000025000000}"/>
    <cellStyle name="Normal 4 2 4 3 3 2" xfId="5770" xr:uid="{00000000-0005-0000-0000-000025000000}"/>
    <cellStyle name="Normal 4 2 4 3 4" xfId="3283" xr:uid="{00000000-0005-0000-0000-000025000000}"/>
    <cellStyle name="Normal 4 2 4 4" xfId="405" xr:uid="{00000000-0005-0000-0000-000025000000}"/>
    <cellStyle name="Normal 4 2 4 4 2" xfId="1385" xr:uid="{00000000-0005-0000-0000-000025000000}"/>
    <cellStyle name="Normal 4 2 4 4 2 2" xfId="4380" xr:uid="{00000000-0005-0000-0000-000025000000}"/>
    <cellStyle name="Normal 4 2 4 4 3" xfId="3428" xr:uid="{00000000-0005-0000-0000-000025000000}"/>
    <cellStyle name="Normal 4 2 4 5" xfId="588" xr:uid="{00000000-0005-0000-0000-000025000000}"/>
    <cellStyle name="Normal 4 2 4 5 2" xfId="3587" xr:uid="{00000000-0005-0000-0000-000025000000}"/>
    <cellStyle name="Normal 4 2 4 6" xfId="2440" xr:uid="{00000000-0005-0000-0000-000025000000}"/>
    <cellStyle name="Normal 4 2 4 6 2" xfId="5434" xr:uid="{00000000-0005-0000-0000-000025000000}"/>
    <cellStyle name="Normal 4 2 4 7" xfId="3138" xr:uid="{00000000-0005-0000-0000-000025000000}"/>
    <cellStyle name="Normal 4 2 5" xfId="76" xr:uid="{00000000-0005-0000-0000-000025000000}"/>
    <cellStyle name="Normal 4 2 5 2" xfId="155" xr:uid="{00000000-0005-0000-0000-000025000000}"/>
    <cellStyle name="Normal 4 2 5 2 2" xfId="300" xr:uid="{00000000-0005-0000-0000-000025000000}"/>
    <cellStyle name="Normal 4 2 5 2 2 2" xfId="1062" xr:uid="{00000000-0005-0000-0000-000025000000}"/>
    <cellStyle name="Normal 4 2 5 2 2 2 2" xfId="4057" xr:uid="{00000000-0005-0000-0000-000025000000}"/>
    <cellStyle name="Normal 4 2 5 2 2 3" xfId="2812" xr:uid="{00000000-0005-0000-0000-000025000000}"/>
    <cellStyle name="Normal 4 2 5 2 2 3 2" xfId="5806" xr:uid="{00000000-0005-0000-0000-000025000000}"/>
    <cellStyle name="Normal 4 2 5 2 2 4" xfId="3323" xr:uid="{00000000-0005-0000-0000-000025000000}"/>
    <cellStyle name="Normal 4 2 5 2 3" xfId="1421" xr:uid="{00000000-0005-0000-0000-000025000000}"/>
    <cellStyle name="Normal 4 2 5 2 3 2" xfId="4416" xr:uid="{00000000-0005-0000-0000-000025000000}"/>
    <cellStyle name="Normal 4 2 5 2 4" xfId="624" xr:uid="{00000000-0005-0000-0000-000025000000}"/>
    <cellStyle name="Normal 4 2 5 2 4 2" xfId="3623" xr:uid="{00000000-0005-0000-0000-000025000000}"/>
    <cellStyle name="Normal 4 2 5 2 5" xfId="2476" xr:uid="{00000000-0005-0000-0000-000025000000}"/>
    <cellStyle name="Normal 4 2 5 2 5 2" xfId="5470" xr:uid="{00000000-0005-0000-0000-000025000000}"/>
    <cellStyle name="Normal 4 2 5 2 6" xfId="3178" xr:uid="{00000000-0005-0000-0000-000025000000}"/>
    <cellStyle name="Normal 4 2 5 3" xfId="224" xr:uid="{00000000-0005-0000-0000-000025000000}"/>
    <cellStyle name="Normal 4 2 5 3 2" xfId="996" xr:uid="{00000000-0005-0000-0000-000025000000}"/>
    <cellStyle name="Normal 4 2 5 3 2 2" xfId="3991" xr:uid="{00000000-0005-0000-0000-000025000000}"/>
    <cellStyle name="Normal 4 2 5 3 3" xfId="2741" xr:uid="{00000000-0005-0000-0000-000025000000}"/>
    <cellStyle name="Normal 4 2 5 3 3 2" xfId="5735" xr:uid="{00000000-0005-0000-0000-000025000000}"/>
    <cellStyle name="Normal 4 2 5 3 4" xfId="3247" xr:uid="{00000000-0005-0000-0000-000025000000}"/>
    <cellStyle name="Normal 4 2 5 4" xfId="369" xr:uid="{00000000-0005-0000-0000-000025000000}"/>
    <cellStyle name="Normal 4 2 5 4 2" xfId="1350" xr:uid="{00000000-0005-0000-0000-000025000000}"/>
    <cellStyle name="Normal 4 2 5 4 2 2" xfId="4345" xr:uid="{00000000-0005-0000-0000-000025000000}"/>
    <cellStyle name="Normal 4 2 5 4 3" xfId="3392" xr:uid="{00000000-0005-0000-0000-000025000000}"/>
    <cellStyle name="Normal 4 2 5 5" xfId="553" xr:uid="{00000000-0005-0000-0000-000025000000}"/>
    <cellStyle name="Normal 4 2 5 5 2" xfId="3552" xr:uid="{00000000-0005-0000-0000-000025000000}"/>
    <cellStyle name="Normal 4 2 5 6" xfId="2404" xr:uid="{00000000-0005-0000-0000-000025000000}"/>
    <cellStyle name="Normal 4 2 5 6 2" xfId="5398" xr:uid="{00000000-0005-0000-0000-000025000000}"/>
    <cellStyle name="Normal 4 2 5 7" xfId="3102" xr:uid="{00000000-0005-0000-0000-000025000000}"/>
    <cellStyle name="Normal 4 2 6" xfId="139" xr:uid="{00000000-0005-0000-0000-000025000000}"/>
    <cellStyle name="Normal 4 2 6 2" xfId="284" xr:uid="{00000000-0005-0000-0000-000025000000}"/>
    <cellStyle name="Normal 4 2 6 2 2" xfId="1121" xr:uid="{00000000-0005-0000-0000-000025000000}"/>
    <cellStyle name="Normal 4 2 6 2 2 2" xfId="4116" xr:uid="{00000000-0005-0000-0000-000025000000}"/>
    <cellStyle name="Normal 4 2 6 2 3" xfId="2874" xr:uid="{00000000-0005-0000-0000-000025000000}"/>
    <cellStyle name="Normal 4 2 6 2 3 2" xfId="5868" xr:uid="{00000000-0005-0000-0000-000025000000}"/>
    <cellStyle name="Normal 4 2 6 2 4" xfId="3307" xr:uid="{00000000-0005-0000-0000-000025000000}"/>
    <cellStyle name="Normal 4 2 6 3" xfId="1483" xr:uid="{00000000-0005-0000-0000-000025000000}"/>
    <cellStyle name="Normal 4 2 6 3 2" xfId="4478" xr:uid="{00000000-0005-0000-0000-000025000000}"/>
    <cellStyle name="Normal 4 2 6 4" xfId="688" xr:uid="{00000000-0005-0000-0000-000025000000}"/>
    <cellStyle name="Normal 4 2 6 4 2" xfId="3685" xr:uid="{00000000-0005-0000-0000-000025000000}"/>
    <cellStyle name="Normal 4 2 6 5" xfId="2539" xr:uid="{00000000-0005-0000-0000-000025000000}"/>
    <cellStyle name="Normal 4 2 6 5 2" xfId="5533" xr:uid="{00000000-0005-0000-0000-000025000000}"/>
    <cellStyle name="Normal 4 2 6 6" xfId="3162" xr:uid="{00000000-0005-0000-0000-000025000000}"/>
    <cellStyle name="Normal 4 2 7" xfId="206" xr:uid="{00000000-0005-0000-0000-000025000000}"/>
    <cellStyle name="Normal 4 2 7 2" xfId="1044" xr:uid="{00000000-0005-0000-0000-000025000000}"/>
    <cellStyle name="Normal 4 2 7 2 2" xfId="2794" xr:uid="{00000000-0005-0000-0000-000025000000}"/>
    <cellStyle name="Normal 4 2 7 2 2 2" xfId="5788" xr:uid="{00000000-0005-0000-0000-000025000000}"/>
    <cellStyle name="Normal 4 2 7 2 3" xfId="4039" xr:uid="{00000000-0005-0000-0000-000025000000}"/>
    <cellStyle name="Normal 4 2 7 3" xfId="1403" xr:uid="{00000000-0005-0000-0000-000025000000}"/>
    <cellStyle name="Normal 4 2 7 3 2" xfId="4398" xr:uid="{00000000-0005-0000-0000-000025000000}"/>
    <cellStyle name="Normal 4 2 7 4" xfId="606" xr:uid="{00000000-0005-0000-0000-000025000000}"/>
    <cellStyle name="Normal 4 2 7 4 2" xfId="3605" xr:uid="{00000000-0005-0000-0000-000025000000}"/>
    <cellStyle name="Normal 4 2 7 5" xfId="2458" xr:uid="{00000000-0005-0000-0000-000025000000}"/>
    <cellStyle name="Normal 4 2 7 5 2" xfId="5452" xr:uid="{00000000-0005-0000-0000-000025000000}"/>
    <cellStyle name="Normal 4 2 7 6" xfId="3229" xr:uid="{00000000-0005-0000-0000-000025000000}"/>
    <cellStyle name="Normal 4 2 8" xfId="351" xr:uid="{00000000-0005-0000-0000-000025000000}"/>
    <cellStyle name="Normal 4 2 8 2" xfId="1148" xr:uid="{00000000-0005-0000-0000-000025000000}"/>
    <cellStyle name="Normal 4 2 8 2 2" xfId="4143" xr:uid="{00000000-0005-0000-0000-000025000000}"/>
    <cellStyle name="Normal 4 2 8 3" xfId="1588" xr:uid="{00000000-0005-0000-0000-000025000000}"/>
    <cellStyle name="Normal 4 2 8 3 2" xfId="4583" xr:uid="{00000000-0005-0000-0000-000025000000}"/>
    <cellStyle name="Normal 4 2 8 4" xfId="794" xr:uid="{00000000-0005-0000-0000-000025000000}"/>
    <cellStyle name="Normal 4 2 8 4 2" xfId="3790" xr:uid="{00000000-0005-0000-0000-000025000000}"/>
    <cellStyle name="Normal 4 2 8 5" xfId="2979" xr:uid="{00000000-0005-0000-0000-000025000000}"/>
    <cellStyle name="Normal 4 2 8 5 2" xfId="5973" xr:uid="{00000000-0005-0000-0000-000025000000}"/>
    <cellStyle name="Normal 4 2 8 6" xfId="3374" xr:uid="{00000000-0005-0000-0000-000025000000}"/>
    <cellStyle name="Normal 4 2 9" xfId="965" xr:uid="{00000000-0005-0000-0000-000025000000}"/>
    <cellStyle name="Normal 4 2 9 2" xfId="2644" xr:uid="{00000000-0005-0000-0000-000025000000}"/>
    <cellStyle name="Normal 4 2 9 2 2" xfId="5638" xr:uid="{00000000-0005-0000-0000-000025000000}"/>
    <cellStyle name="Normal 4 2 9 3" xfId="3960" xr:uid="{00000000-0005-0000-0000-000025000000}"/>
    <cellStyle name="Normal 4 3" xfId="60" xr:uid="{00000000-0005-0000-0000-000027000000}"/>
    <cellStyle name="Normal 4 3 10" xfId="457" xr:uid="{00000000-0005-0000-0000-000027000000}"/>
    <cellStyle name="Normal 4 3 10 2" xfId="3461" xr:uid="{00000000-0005-0000-0000-000027000000}"/>
    <cellStyle name="Normal 4 3 11" xfId="2391" xr:uid="{00000000-0005-0000-0000-000027000000}"/>
    <cellStyle name="Normal 4 3 11 2" xfId="5385" xr:uid="{00000000-0005-0000-0000-000027000000}"/>
    <cellStyle name="Normal 4 3 12" xfId="3089" xr:uid="{00000000-0005-0000-0000-000027000000}"/>
    <cellStyle name="Normal 4 3 2" xfId="100" xr:uid="{00000000-0005-0000-0000-000027000000}"/>
    <cellStyle name="Normal 4 3 2 2" xfId="176" xr:uid="{00000000-0005-0000-0000-000027000000}"/>
    <cellStyle name="Normal 4 3 2 2 2" xfId="321" xr:uid="{00000000-0005-0000-0000-000027000000}"/>
    <cellStyle name="Normal 4 3 2 2 2 2" xfId="1085" xr:uid="{00000000-0005-0000-0000-000027000000}"/>
    <cellStyle name="Normal 4 3 2 2 2 2 2" xfId="4080" xr:uid="{00000000-0005-0000-0000-000027000000}"/>
    <cellStyle name="Normal 4 3 2 2 2 3" xfId="2835" xr:uid="{00000000-0005-0000-0000-000027000000}"/>
    <cellStyle name="Normal 4 3 2 2 2 3 2" xfId="5829" xr:uid="{00000000-0005-0000-0000-000027000000}"/>
    <cellStyle name="Normal 4 3 2 2 2 4" xfId="3344" xr:uid="{00000000-0005-0000-0000-000027000000}"/>
    <cellStyle name="Normal 4 3 2 2 3" xfId="1444" xr:uid="{00000000-0005-0000-0000-000027000000}"/>
    <cellStyle name="Normal 4 3 2 2 3 2" xfId="4439" xr:uid="{00000000-0005-0000-0000-000027000000}"/>
    <cellStyle name="Normal 4 3 2 2 4" xfId="647" xr:uid="{00000000-0005-0000-0000-000027000000}"/>
    <cellStyle name="Normal 4 3 2 2 4 2" xfId="3646" xr:uid="{00000000-0005-0000-0000-000027000000}"/>
    <cellStyle name="Normal 4 3 2 2 5" xfId="2499" xr:uid="{00000000-0005-0000-0000-000027000000}"/>
    <cellStyle name="Normal 4 3 2 2 5 2" xfId="5493" xr:uid="{00000000-0005-0000-0000-000027000000}"/>
    <cellStyle name="Normal 4 3 2 2 6" xfId="3199" xr:uid="{00000000-0005-0000-0000-000027000000}"/>
    <cellStyle name="Normal 4 3 2 3" xfId="247" xr:uid="{00000000-0005-0000-0000-000027000000}"/>
    <cellStyle name="Normal 4 3 2 3 2" xfId="1016" xr:uid="{00000000-0005-0000-0000-000027000000}"/>
    <cellStyle name="Normal 4 3 2 3 2 2" xfId="4011" xr:uid="{00000000-0005-0000-0000-000027000000}"/>
    <cellStyle name="Normal 4 3 2 3 3" xfId="2763" xr:uid="{00000000-0005-0000-0000-000027000000}"/>
    <cellStyle name="Normal 4 3 2 3 3 2" xfId="5757" xr:uid="{00000000-0005-0000-0000-000027000000}"/>
    <cellStyle name="Normal 4 3 2 3 4" xfId="3270" xr:uid="{00000000-0005-0000-0000-000027000000}"/>
    <cellStyle name="Normal 4 3 2 4" xfId="392" xr:uid="{00000000-0005-0000-0000-000027000000}"/>
    <cellStyle name="Normal 4 3 2 4 2" xfId="1372" xr:uid="{00000000-0005-0000-0000-000027000000}"/>
    <cellStyle name="Normal 4 3 2 4 2 2" xfId="4367" xr:uid="{00000000-0005-0000-0000-000027000000}"/>
    <cellStyle name="Normal 4 3 2 4 3" xfId="3415" xr:uid="{00000000-0005-0000-0000-000027000000}"/>
    <cellStyle name="Normal 4 3 2 5" xfId="575" xr:uid="{00000000-0005-0000-0000-000027000000}"/>
    <cellStyle name="Normal 4 3 2 5 2" xfId="3574" xr:uid="{00000000-0005-0000-0000-000027000000}"/>
    <cellStyle name="Normal 4 3 2 6" xfId="2427" xr:uid="{00000000-0005-0000-0000-000027000000}"/>
    <cellStyle name="Normal 4 3 2 6 2" xfId="5421" xr:uid="{00000000-0005-0000-0000-000027000000}"/>
    <cellStyle name="Normal 4 3 2 7" xfId="3125" xr:uid="{00000000-0005-0000-0000-000027000000}"/>
    <cellStyle name="Normal 4 3 3" xfId="120" xr:uid="{00000000-0005-0000-0000-000027000000}"/>
    <cellStyle name="Normal 4 3 3 2" xfId="193" xr:uid="{00000000-0005-0000-0000-000027000000}"/>
    <cellStyle name="Normal 4 3 3 2 2" xfId="338" xr:uid="{00000000-0005-0000-0000-000027000000}"/>
    <cellStyle name="Normal 4 3 3 2 2 2" xfId="1103" xr:uid="{00000000-0005-0000-0000-000027000000}"/>
    <cellStyle name="Normal 4 3 3 2 2 2 2" xfId="4098" xr:uid="{00000000-0005-0000-0000-000027000000}"/>
    <cellStyle name="Normal 4 3 3 2 2 3" xfId="2853" xr:uid="{00000000-0005-0000-0000-000027000000}"/>
    <cellStyle name="Normal 4 3 3 2 2 3 2" xfId="5847" xr:uid="{00000000-0005-0000-0000-000027000000}"/>
    <cellStyle name="Normal 4 3 3 2 2 4" xfId="3361" xr:uid="{00000000-0005-0000-0000-000027000000}"/>
    <cellStyle name="Normal 4 3 3 2 3" xfId="1462" xr:uid="{00000000-0005-0000-0000-000027000000}"/>
    <cellStyle name="Normal 4 3 3 2 3 2" xfId="4457" xr:uid="{00000000-0005-0000-0000-000027000000}"/>
    <cellStyle name="Normal 4 3 3 2 4" xfId="665" xr:uid="{00000000-0005-0000-0000-000027000000}"/>
    <cellStyle name="Normal 4 3 3 2 4 2" xfId="3664" xr:uid="{00000000-0005-0000-0000-000027000000}"/>
    <cellStyle name="Normal 4 3 3 2 5" xfId="2517" xr:uid="{00000000-0005-0000-0000-000027000000}"/>
    <cellStyle name="Normal 4 3 3 2 5 2" xfId="5511" xr:uid="{00000000-0005-0000-0000-000027000000}"/>
    <cellStyle name="Normal 4 3 3 2 6" xfId="3216" xr:uid="{00000000-0005-0000-0000-000027000000}"/>
    <cellStyle name="Normal 4 3 3 3" xfId="265" xr:uid="{00000000-0005-0000-0000-000027000000}"/>
    <cellStyle name="Normal 4 3 3 3 2" xfId="1032" xr:uid="{00000000-0005-0000-0000-000027000000}"/>
    <cellStyle name="Normal 4 3 3 3 2 2" xfId="4027" xr:uid="{00000000-0005-0000-0000-000027000000}"/>
    <cellStyle name="Normal 4 3 3 3 3" xfId="2781" xr:uid="{00000000-0005-0000-0000-000027000000}"/>
    <cellStyle name="Normal 4 3 3 3 3 2" xfId="5775" xr:uid="{00000000-0005-0000-0000-000027000000}"/>
    <cellStyle name="Normal 4 3 3 3 4" xfId="3288" xr:uid="{00000000-0005-0000-0000-000027000000}"/>
    <cellStyle name="Normal 4 3 3 4" xfId="410" xr:uid="{00000000-0005-0000-0000-000027000000}"/>
    <cellStyle name="Normal 4 3 3 4 2" xfId="1390" xr:uid="{00000000-0005-0000-0000-000027000000}"/>
    <cellStyle name="Normal 4 3 3 4 2 2" xfId="4385" xr:uid="{00000000-0005-0000-0000-000027000000}"/>
    <cellStyle name="Normal 4 3 3 4 3" xfId="3433" xr:uid="{00000000-0005-0000-0000-000027000000}"/>
    <cellStyle name="Normal 4 3 3 5" xfId="593" xr:uid="{00000000-0005-0000-0000-000027000000}"/>
    <cellStyle name="Normal 4 3 3 5 2" xfId="3592" xr:uid="{00000000-0005-0000-0000-000027000000}"/>
    <cellStyle name="Normal 4 3 3 6" xfId="2445" xr:uid="{00000000-0005-0000-0000-000027000000}"/>
    <cellStyle name="Normal 4 3 3 6 2" xfId="5439" xr:uid="{00000000-0005-0000-0000-000027000000}"/>
    <cellStyle name="Normal 4 3 3 7" xfId="3143" xr:uid="{00000000-0005-0000-0000-000027000000}"/>
    <cellStyle name="Normal 4 3 4" xfId="81" xr:uid="{00000000-0005-0000-0000-000027000000}"/>
    <cellStyle name="Normal 4 3 4 2" xfId="159" xr:uid="{00000000-0005-0000-0000-000027000000}"/>
    <cellStyle name="Normal 4 3 4 2 2" xfId="304" xr:uid="{00000000-0005-0000-0000-000027000000}"/>
    <cellStyle name="Normal 4 3 4 2 2 2" xfId="1067" xr:uid="{00000000-0005-0000-0000-000027000000}"/>
    <cellStyle name="Normal 4 3 4 2 2 2 2" xfId="4062" xr:uid="{00000000-0005-0000-0000-000027000000}"/>
    <cellStyle name="Normal 4 3 4 2 2 3" xfId="2817" xr:uid="{00000000-0005-0000-0000-000027000000}"/>
    <cellStyle name="Normal 4 3 4 2 2 3 2" xfId="5811" xr:uid="{00000000-0005-0000-0000-000027000000}"/>
    <cellStyle name="Normal 4 3 4 2 2 4" xfId="3327" xr:uid="{00000000-0005-0000-0000-000027000000}"/>
    <cellStyle name="Normal 4 3 4 2 3" xfId="1426" xr:uid="{00000000-0005-0000-0000-000027000000}"/>
    <cellStyle name="Normal 4 3 4 2 3 2" xfId="4421" xr:uid="{00000000-0005-0000-0000-000027000000}"/>
    <cellStyle name="Normal 4 3 4 2 4" xfId="629" xr:uid="{00000000-0005-0000-0000-000027000000}"/>
    <cellStyle name="Normal 4 3 4 2 4 2" xfId="3628" xr:uid="{00000000-0005-0000-0000-000027000000}"/>
    <cellStyle name="Normal 4 3 4 2 5" xfId="2481" xr:uid="{00000000-0005-0000-0000-000027000000}"/>
    <cellStyle name="Normal 4 3 4 2 5 2" xfId="5475" xr:uid="{00000000-0005-0000-0000-000027000000}"/>
    <cellStyle name="Normal 4 3 4 2 6" xfId="3182" xr:uid="{00000000-0005-0000-0000-000027000000}"/>
    <cellStyle name="Normal 4 3 4 3" xfId="229" xr:uid="{00000000-0005-0000-0000-000027000000}"/>
    <cellStyle name="Normal 4 3 4 3 2" xfId="1000" xr:uid="{00000000-0005-0000-0000-000027000000}"/>
    <cellStyle name="Normal 4 3 4 3 2 2" xfId="3995" xr:uid="{00000000-0005-0000-0000-000027000000}"/>
    <cellStyle name="Normal 4 3 4 3 3" xfId="2746" xr:uid="{00000000-0005-0000-0000-000027000000}"/>
    <cellStyle name="Normal 4 3 4 3 3 2" xfId="5740" xr:uid="{00000000-0005-0000-0000-000027000000}"/>
    <cellStyle name="Normal 4 3 4 3 4" xfId="3252" xr:uid="{00000000-0005-0000-0000-000027000000}"/>
    <cellStyle name="Normal 4 3 4 4" xfId="374" xr:uid="{00000000-0005-0000-0000-000027000000}"/>
    <cellStyle name="Normal 4 3 4 4 2" xfId="1355" xr:uid="{00000000-0005-0000-0000-000027000000}"/>
    <cellStyle name="Normal 4 3 4 4 2 2" xfId="4350" xr:uid="{00000000-0005-0000-0000-000027000000}"/>
    <cellStyle name="Normal 4 3 4 4 3" xfId="3397" xr:uid="{00000000-0005-0000-0000-000027000000}"/>
    <cellStyle name="Normal 4 3 4 5" xfId="558" xr:uid="{00000000-0005-0000-0000-000027000000}"/>
    <cellStyle name="Normal 4 3 4 5 2" xfId="3557" xr:uid="{00000000-0005-0000-0000-000027000000}"/>
    <cellStyle name="Normal 4 3 4 6" xfId="2409" xr:uid="{00000000-0005-0000-0000-000027000000}"/>
    <cellStyle name="Normal 4 3 4 6 2" xfId="5403" xr:uid="{00000000-0005-0000-0000-000027000000}"/>
    <cellStyle name="Normal 4 3 4 7" xfId="3107" xr:uid="{00000000-0005-0000-0000-000027000000}"/>
    <cellStyle name="Normal 4 3 5" xfId="143" xr:uid="{00000000-0005-0000-0000-000027000000}"/>
    <cellStyle name="Normal 4 3 5 2" xfId="288" xr:uid="{00000000-0005-0000-0000-000027000000}"/>
    <cellStyle name="Normal 4 3 5 2 2" xfId="1126" xr:uid="{00000000-0005-0000-0000-000027000000}"/>
    <cellStyle name="Normal 4 3 5 2 2 2" xfId="4121" xr:uid="{00000000-0005-0000-0000-000027000000}"/>
    <cellStyle name="Normal 4 3 5 2 3" xfId="2879" xr:uid="{00000000-0005-0000-0000-000027000000}"/>
    <cellStyle name="Normal 4 3 5 2 3 2" xfId="5873" xr:uid="{00000000-0005-0000-0000-000027000000}"/>
    <cellStyle name="Normal 4 3 5 2 4" xfId="3311" xr:uid="{00000000-0005-0000-0000-000027000000}"/>
    <cellStyle name="Normal 4 3 5 3" xfId="1488" xr:uid="{00000000-0005-0000-0000-000027000000}"/>
    <cellStyle name="Normal 4 3 5 3 2" xfId="4483" xr:uid="{00000000-0005-0000-0000-000027000000}"/>
    <cellStyle name="Normal 4 3 5 4" xfId="693" xr:uid="{00000000-0005-0000-0000-000027000000}"/>
    <cellStyle name="Normal 4 3 5 4 2" xfId="3690" xr:uid="{00000000-0005-0000-0000-000027000000}"/>
    <cellStyle name="Normal 4 3 5 5" xfId="2544" xr:uid="{00000000-0005-0000-0000-000027000000}"/>
    <cellStyle name="Normal 4 3 5 5 2" xfId="5538" xr:uid="{00000000-0005-0000-0000-000027000000}"/>
    <cellStyle name="Normal 4 3 5 6" xfId="3166" xr:uid="{00000000-0005-0000-0000-000027000000}"/>
    <cellStyle name="Normal 4 3 6" xfId="211" xr:uid="{00000000-0005-0000-0000-000027000000}"/>
    <cellStyle name="Normal 4 3 6 2" xfId="1049" xr:uid="{00000000-0005-0000-0000-000027000000}"/>
    <cellStyle name="Normal 4 3 6 2 2" xfId="2799" xr:uid="{00000000-0005-0000-0000-000027000000}"/>
    <cellStyle name="Normal 4 3 6 2 2 2" xfId="5793" xr:uid="{00000000-0005-0000-0000-000027000000}"/>
    <cellStyle name="Normal 4 3 6 2 3" xfId="4044" xr:uid="{00000000-0005-0000-0000-000027000000}"/>
    <cellStyle name="Normal 4 3 6 3" xfId="1408" xr:uid="{00000000-0005-0000-0000-000027000000}"/>
    <cellStyle name="Normal 4 3 6 3 2" xfId="4403" xr:uid="{00000000-0005-0000-0000-000027000000}"/>
    <cellStyle name="Normal 4 3 6 4" xfId="611" xr:uid="{00000000-0005-0000-0000-000027000000}"/>
    <cellStyle name="Normal 4 3 6 4 2" xfId="3610" xr:uid="{00000000-0005-0000-0000-000027000000}"/>
    <cellStyle name="Normal 4 3 6 5" xfId="2463" xr:uid="{00000000-0005-0000-0000-000027000000}"/>
    <cellStyle name="Normal 4 3 6 5 2" xfId="5457" xr:uid="{00000000-0005-0000-0000-000027000000}"/>
    <cellStyle name="Normal 4 3 6 6" xfId="3234" xr:uid="{00000000-0005-0000-0000-000027000000}"/>
    <cellStyle name="Normal 4 3 7" xfId="356" xr:uid="{00000000-0005-0000-0000-000027000000}"/>
    <cellStyle name="Normal 4 3 7 2" xfId="1153" xr:uid="{00000000-0005-0000-0000-000027000000}"/>
    <cellStyle name="Normal 4 3 7 2 2" xfId="4148" xr:uid="{00000000-0005-0000-0000-000027000000}"/>
    <cellStyle name="Normal 4 3 7 3" xfId="1593" xr:uid="{00000000-0005-0000-0000-000027000000}"/>
    <cellStyle name="Normal 4 3 7 3 2" xfId="4588" xr:uid="{00000000-0005-0000-0000-000027000000}"/>
    <cellStyle name="Normal 4 3 7 4" xfId="799" xr:uid="{00000000-0005-0000-0000-000027000000}"/>
    <cellStyle name="Normal 4 3 7 4 2" xfId="3795" xr:uid="{00000000-0005-0000-0000-000027000000}"/>
    <cellStyle name="Normal 4 3 7 5" xfId="2984" xr:uid="{00000000-0005-0000-0000-000027000000}"/>
    <cellStyle name="Normal 4 3 7 5 2" xfId="5978" xr:uid="{00000000-0005-0000-0000-000027000000}"/>
    <cellStyle name="Normal 4 3 7 6" xfId="3379" xr:uid="{00000000-0005-0000-0000-000027000000}"/>
    <cellStyle name="Normal 4 3 8" xfId="901" xr:uid="{00000000-0005-0000-0000-000027000000}"/>
    <cellStyle name="Normal 4 3 8 2" xfId="2649" xr:uid="{00000000-0005-0000-0000-000027000000}"/>
    <cellStyle name="Normal 4 3 8 2 2" xfId="5643" xr:uid="{00000000-0005-0000-0000-000027000000}"/>
    <cellStyle name="Normal 4 3 8 3" xfId="3897" xr:uid="{00000000-0005-0000-0000-000027000000}"/>
    <cellStyle name="Normal 4 3 9" xfId="1258" xr:uid="{00000000-0005-0000-0000-000027000000}"/>
    <cellStyle name="Normal 4 3 9 2" xfId="4253" xr:uid="{00000000-0005-0000-0000-000027000000}"/>
    <cellStyle name="Normal 4 4" xfId="93" xr:uid="{00000000-0005-0000-0000-000024000000}"/>
    <cellStyle name="Normal 4 4 2" xfId="170" xr:uid="{00000000-0005-0000-0000-000024000000}"/>
    <cellStyle name="Normal 4 4 2 2" xfId="315" xr:uid="{00000000-0005-0000-0000-000024000000}"/>
    <cellStyle name="Normal 4 4 2 2 2" xfId="1078" xr:uid="{00000000-0005-0000-0000-000024000000}"/>
    <cellStyle name="Normal 4 4 2 2 2 2" xfId="4073" xr:uid="{00000000-0005-0000-0000-000024000000}"/>
    <cellStyle name="Normal 4 4 2 2 3" xfId="2828" xr:uid="{00000000-0005-0000-0000-000024000000}"/>
    <cellStyle name="Normal 4 4 2 2 3 2" xfId="5822" xr:uid="{00000000-0005-0000-0000-000024000000}"/>
    <cellStyle name="Normal 4 4 2 2 4" xfId="3338" xr:uid="{00000000-0005-0000-0000-000024000000}"/>
    <cellStyle name="Normal 4 4 2 3" xfId="1437" xr:uid="{00000000-0005-0000-0000-000024000000}"/>
    <cellStyle name="Normal 4 4 2 3 2" xfId="4432" xr:uid="{00000000-0005-0000-0000-000024000000}"/>
    <cellStyle name="Normal 4 4 2 4" xfId="640" xr:uid="{00000000-0005-0000-0000-000024000000}"/>
    <cellStyle name="Normal 4 4 2 4 2" xfId="3639" xr:uid="{00000000-0005-0000-0000-000024000000}"/>
    <cellStyle name="Normal 4 4 2 5" xfId="2492" xr:uid="{00000000-0005-0000-0000-000024000000}"/>
    <cellStyle name="Normal 4 4 2 5 2" xfId="5486" xr:uid="{00000000-0005-0000-0000-000024000000}"/>
    <cellStyle name="Normal 4 4 2 6" xfId="3193" xr:uid="{00000000-0005-0000-0000-000024000000}"/>
    <cellStyle name="Normal 4 4 3" xfId="240" xr:uid="{00000000-0005-0000-0000-000024000000}"/>
    <cellStyle name="Normal 4 4 3 2" xfId="1010" xr:uid="{00000000-0005-0000-0000-000024000000}"/>
    <cellStyle name="Normal 4 4 3 2 2" xfId="4005" xr:uid="{00000000-0005-0000-0000-000024000000}"/>
    <cellStyle name="Normal 4 4 3 3" xfId="2757" xr:uid="{00000000-0005-0000-0000-000024000000}"/>
    <cellStyle name="Normal 4 4 3 3 2" xfId="5751" xr:uid="{00000000-0005-0000-0000-000024000000}"/>
    <cellStyle name="Normal 4 4 3 4" xfId="3263" xr:uid="{00000000-0005-0000-0000-000024000000}"/>
    <cellStyle name="Normal 4 4 4" xfId="385" xr:uid="{00000000-0005-0000-0000-000024000000}"/>
    <cellStyle name="Normal 4 4 4 2" xfId="1366" xr:uid="{00000000-0005-0000-0000-000024000000}"/>
    <cellStyle name="Normal 4 4 4 2 2" xfId="4361" xr:uid="{00000000-0005-0000-0000-000024000000}"/>
    <cellStyle name="Normal 4 4 4 3" xfId="3408" xr:uid="{00000000-0005-0000-0000-000024000000}"/>
    <cellStyle name="Normal 4 4 5" xfId="569" xr:uid="{00000000-0005-0000-0000-000024000000}"/>
    <cellStyle name="Normal 4 4 5 2" xfId="3568" xr:uid="{00000000-0005-0000-0000-000024000000}"/>
    <cellStyle name="Normal 4 4 6" xfId="2420" xr:uid="{00000000-0005-0000-0000-000024000000}"/>
    <cellStyle name="Normal 4 4 6 2" xfId="5414" xr:uid="{00000000-0005-0000-0000-000024000000}"/>
    <cellStyle name="Normal 4 4 7" xfId="3118" xr:uid="{00000000-0005-0000-0000-000024000000}"/>
    <cellStyle name="Normal 4 5" xfId="113" xr:uid="{00000000-0005-0000-0000-000024000000}"/>
    <cellStyle name="Normal 4 5 2" xfId="187" xr:uid="{00000000-0005-0000-0000-000024000000}"/>
    <cellStyle name="Normal 4 5 2 2" xfId="332" xr:uid="{00000000-0005-0000-0000-000024000000}"/>
    <cellStyle name="Normal 4 5 2 2 2" xfId="1096" xr:uid="{00000000-0005-0000-0000-000024000000}"/>
    <cellStyle name="Normal 4 5 2 2 2 2" xfId="4091" xr:uid="{00000000-0005-0000-0000-000024000000}"/>
    <cellStyle name="Normal 4 5 2 2 3" xfId="2846" xr:uid="{00000000-0005-0000-0000-000024000000}"/>
    <cellStyle name="Normal 4 5 2 2 3 2" xfId="5840" xr:uid="{00000000-0005-0000-0000-000024000000}"/>
    <cellStyle name="Normal 4 5 2 2 4" xfId="3355" xr:uid="{00000000-0005-0000-0000-000024000000}"/>
    <cellStyle name="Normal 4 5 2 3" xfId="1455" xr:uid="{00000000-0005-0000-0000-000024000000}"/>
    <cellStyle name="Normal 4 5 2 3 2" xfId="4450" xr:uid="{00000000-0005-0000-0000-000024000000}"/>
    <cellStyle name="Normal 4 5 2 4" xfId="658" xr:uid="{00000000-0005-0000-0000-000024000000}"/>
    <cellStyle name="Normal 4 5 2 4 2" xfId="3657" xr:uid="{00000000-0005-0000-0000-000024000000}"/>
    <cellStyle name="Normal 4 5 2 5" xfId="2510" xr:uid="{00000000-0005-0000-0000-000024000000}"/>
    <cellStyle name="Normal 4 5 2 5 2" xfId="5504" xr:uid="{00000000-0005-0000-0000-000024000000}"/>
    <cellStyle name="Normal 4 5 2 6" xfId="3210" xr:uid="{00000000-0005-0000-0000-000024000000}"/>
    <cellStyle name="Normal 4 5 3" xfId="258" xr:uid="{00000000-0005-0000-0000-000024000000}"/>
    <cellStyle name="Normal 4 5 3 2" xfId="1026" xr:uid="{00000000-0005-0000-0000-000024000000}"/>
    <cellStyle name="Normal 4 5 3 2 2" xfId="4021" xr:uid="{00000000-0005-0000-0000-000024000000}"/>
    <cellStyle name="Normal 4 5 3 3" xfId="2774" xr:uid="{00000000-0005-0000-0000-000024000000}"/>
    <cellStyle name="Normal 4 5 3 3 2" xfId="5768" xr:uid="{00000000-0005-0000-0000-000024000000}"/>
    <cellStyle name="Normal 4 5 3 4" xfId="3281" xr:uid="{00000000-0005-0000-0000-000024000000}"/>
    <cellStyle name="Normal 4 5 4" xfId="403" xr:uid="{00000000-0005-0000-0000-000024000000}"/>
    <cellStyle name="Normal 4 5 4 2" xfId="1383" xr:uid="{00000000-0005-0000-0000-000024000000}"/>
    <cellStyle name="Normal 4 5 4 2 2" xfId="4378" xr:uid="{00000000-0005-0000-0000-000024000000}"/>
    <cellStyle name="Normal 4 5 4 3" xfId="3426" xr:uid="{00000000-0005-0000-0000-000024000000}"/>
    <cellStyle name="Normal 4 5 5" xfId="586" xr:uid="{00000000-0005-0000-0000-000024000000}"/>
    <cellStyle name="Normal 4 5 5 2" xfId="3585" xr:uid="{00000000-0005-0000-0000-000024000000}"/>
    <cellStyle name="Normal 4 5 6" xfId="2438" xr:uid="{00000000-0005-0000-0000-000024000000}"/>
    <cellStyle name="Normal 4 5 6 2" xfId="5432" xr:uid="{00000000-0005-0000-0000-000024000000}"/>
    <cellStyle name="Normal 4 5 7" xfId="3136" xr:uid="{00000000-0005-0000-0000-000024000000}"/>
    <cellStyle name="Normal 4 6" xfId="74" xr:uid="{00000000-0005-0000-0000-000024000000}"/>
    <cellStyle name="Normal 4 6 2" xfId="153" xr:uid="{00000000-0005-0000-0000-000024000000}"/>
    <cellStyle name="Normal 4 6 2 2" xfId="298" xr:uid="{00000000-0005-0000-0000-000024000000}"/>
    <cellStyle name="Normal 4 6 2 2 2" xfId="1060" xr:uid="{00000000-0005-0000-0000-000024000000}"/>
    <cellStyle name="Normal 4 6 2 2 2 2" xfId="4055" xr:uid="{00000000-0005-0000-0000-000024000000}"/>
    <cellStyle name="Normal 4 6 2 2 3" xfId="2810" xr:uid="{00000000-0005-0000-0000-000024000000}"/>
    <cellStyle name="Normal 4 6 2 2 3 2" xfId="5804" xr:uid="{00000000-0005-0000-0000-000024000000}"/>
    <cellStyle name="Normal 4 6 2 2 4" xfId="3321" xr:uid="{00000000-0005-0000-0000-000024000000}"/>
    <cellStyle name="Normal 4 6 2 3" xfId="1419" xr:uid="{00000000-0005-0000-0000-000024000000}"/>
    <cellStyle name="Normal 4 6 2 3 2" xfId="4414" xr:uid="{00000000-0005-0000-0000-000024000000}"/>
    <cellStyle name="Normal 4 6 2 4" xfId="622" xr:uid="{00000000-0005-0000-0000-000024000000}"/>
    <cellStyle name="Normal 4 6 2 4 2" xfId="3621" xr:uid="{00000000-0005-0000-0000-000024000000}"/>
    <cellStyle name="Normal 4 6 2 5" xfId="2474" xr:uid="{00000000-0005-0000-0000-000024000000}"/>
    <cellStyle name="Normal 4 6 2 5 2" xfId="5468" xr:uid="{00000000-0005-0000-0000-000024000000}"/>
    <cellStyle name="Normal 4 6 2 6" xfId="3176" xr:uid="{00000000-0005-0000-0000-000024000000}"/>
    <cellStyle name="Normal 4 6 3" xfId="222" xr:uid="{00000000-0005-0000-0000-000024000000}"/>
    <cellStyle name="Normal 4 6 3 2" xfId="994" xr:uid="{00000000-0005-0000-0000-000024000000}"/>
    <cellStyle name="Normal 4 6 3 2 2" xfId="3989" xr:uid="{00000000-0005-0000-0000-000024000000}"/>
    <cellStyle name="Normal 4 6 3 3" xfId="2739" xr:uid="{00000000-0005-0000-0000-000024000000}"/>
    <cellStyle name="Normal 4 6 3 3 2" xfId="5733" xr:uid="{00000000-0005-0000-0000-000024000000}"/>
    <cellStyle name="Normal 4 6 3 4" xfId="3245" xr:uid="{00000000-0005-0000-0000-000024000000}"/>
    <cellStyle name="Normal 4 6 4" xfId="367" xr:uid="{00000000-0005-0000-0000-000024000000}"/>
    <cellStyle name="Normal 4 6 4 2" xfId="1348" xr:uid="{00000000-0005-0000-0000-000024000000}"/>
    <cellStyle name="Normal 4 6 4 2 2" xfId="4343" xr:uid="{00000000-0005-0000-0000-000024000000}"/>
    <cellStyle name="Normal 4 6 4 3" xfId="3390" xr:uid="{00000000-0005-0000-0000-000024000000}"/>
    <cellStyle name="Normal 4 6 5" xfId="551" xr:uid="{00000000-0005-0000-0000-000024000000}"/>
    <cellStyle name="Normal 4 6 5 2" xfId="3550" xr:uid="{00000000-0005-0000-0000-000024000000}"/>
    <cellStyle name="Normal 4 6 6" xfId="2402" xr:uid="{00000000-0005-0000-0000-000024000000}"/>
    <cellStyle name="Normal 4 6 6 2" xfId="5396" xr:uid="{00000000-0005-0000-0000-000024000000}"/>
    <cellStyle name="Normal 4 6 7" xfId="3100" xr:uid="{00000000-0005-0000-0000-000024000000}"/>
    <cellStyle name="Normal 4 7" xfId="137" xr:uid="{00000000-0005-0000-0000-000024000000}"/>
    <cellStyle name="Normal 4 7 2" xfId="282" xr:uid="{00000000-0005-0000-0000-000024000000}"/>
    <cellStyle name="Normal 4 7 2 2" xfId="1119" xr:uid="{00000000-0005-0000-0000-000024000000}"/>
    <cellStyle name="Normal 4 7 2 2 2" xfId="4114" xr:uid="{00000000-0005-0000-0000-000024000000}"/>
    <cellStyle name="Normal 4 7 2 3" xfId="2872" xr:uid="{00000000-0005-0000-0000-000024000000}"/>
    <cellStyle name="Normal 4 7 2 3 2" xfId="5866" xr:uid="{00000000-0005-0000-0000-000024000000}"/>
    <cellStyle name="Normal 4 7 2 4" xfId="3305" xr:uid="{00000000-0005-0000-0000-000024000000}"/>
    <cellStyle name="Normal 4 7 3" xfId="1481" xr:uid="{00000000-0005-0000-0000-000024000000}"/>
    <cellStyle name="Normal 4 7 3 2" xfId="4476" xr:uid="{00000000-0005-0000-0000-000024000000}"/>
    <cellStyle name="Normal 4 7 4" xfId="686" xr:uid="{00000000-0005-0000-0000-000024000000}"/>
    <cellStyle name="Normal 4 7 4 2" xfId="3683" xr:uid="{00000000-0005-0000-0000-000024000000}"/>
    <cellStyle name="Normal 4 7 5" xfId="2537" xr:uid="{00000000-0005-0000-0000-000024000000}"/>
    <cellStyle name="Normal 4 7 5 2" xfId="5531" xr:uid="{00000000-0005-0000-0000-000024000000}"/>
    <cellStyle name="Normal 4 7 6" xfId="3160" xr:uid="{00000000-0005-0000-0000-000024000000}"/>
    <cellStyle name="Normal 4 8" xfId="204" xr:uid="{00000000-0005-0000-0000-000024000000}"/>
    <cellStyle name="Normal 4 8 2" xfId="1042" xr:uid="{00000000-0005-0000-0000-000024000000}"/>
    <cellStyle name="Normal 4 8 2 2" xfId="2792" xr:uid="{00000000-0005-0000-0000-000024000000}"/>
    <cellStyle name="Normal 4 8 2 2 2" xfId="5786" xr:uid="{00000000-0005-0000-0000-000024000000}"/>
    <cellStyle name="Normal 4 8 2 3" xfId="4037" xr:uid="{00000000-0005-0000-0000-000024000000}"/>
    <cellStyle name="Normal 4 8 3" xfId="1401" xr:uid="{00000000-0005-0000-0000-000024000000}"/>
    <cellStyle name="Normal 4 8 3 2" xfId="4396" xr:uid="{00000000-0005-0000-0000-000024000000}"/>
    <cellStyle name="Normal 4 8 4" xfId="604" xr:uid="{00000000-0005-0000-0000-000024000000}"/>
    <cellStyle name="Normal 4 8 4 2" xfId="3603" xr:uid="{00000000-0005-0000-0000-000024000000}"/>
    <cellStyle name="Normal 4 8 5" xfId="2456" xr:uid="{00000000-0005-0000-0000-000024000000}"/>
    <cellStyle name="Normal 4 8 5 2" xfId="5450" xr:uid="{00000000-0005-0000-0000-000024000000}"/>
    <cellStyle name="Normal 4 8 6" xfId="3227" xr:uid="{00000000-0005-0000-0000-000024000000}"/>
    <cellStyle name="Normal 4 9" xfId="349" xr:uid="{00000000-0005-0000-0000-000024000000}"/>
    <cellStyle name="Normal 4 9 2" xfId="1146" xr:uid="{00000000-0005-0000-0000-000024000000}"/>
    <cellStyle name="Normal 4 9 2 2" xfId="4141" xr:uid="{00000000-0005-0000-0000-000024000000}"/>
    <cellStyle name="Normal 4 9 3" xfId="1586" xr:uid="{00000000-0005-0000-0000-000024000000}"/>
    <cellStyle name="Normal 4 9 3 2" xfId="4581" xr:uid="{00000000-0005-0000-0000-000024000000}"/>
    <cellStyle name="Normal 4 9 4" xfId="792" xr:uid="{00000000-0005-0000-0000-000024000000}"/>
    <cellStyle name="Normal 4 9 4 2" xfId="3788" xr:uid="{00000000-0005-0000-0000-000024000000}"/>
    <cellStyle name="Normal 4 9 5" xfId="2977" xr:uid="{00000000-0005-0000-0000-000024000000}"/>
    <cellStyle name="Normal 4 9 5 2" xfId="5971" xr:uid="{00000000-0005-0000-0000-000024000000}"/>
    <cellStyle name="Normal 4 9 6" xfId="3372" xr:uid="{00000000-0005-0000-0000-000024000000}"/>
    <cellStyle name="Normal 5" xfId="66" xr:uid="{00000000-0005-0000-0000-000028000000}"/>
    <cellStyle name="Normal 5 10" xfId="462" xr:uid="{00000000-0005-0000-0000-000028000000}"/>
    <cellStyle name="Normal 5 10 2" xfId="3466" xr:uid="{00000000-0005-0000-0000-000028000000}"/>
    <cellStyle name="Normal 5 11" xfId="2397" xr:uid="{00000000-0005-0000-0000-000028000000}"/>
    <cellStyle name="Normal 5 11 2" xfId="5391" xr:uid="{00000000-0005-0000-0000-000028000000}"/>
    <cellStyle name="Normal 5 12" xfId="3095" xr:uid="{00000000-0005-0000-0000-000028000000}"/>
    <cellStyle name="Normal 5 2" xfId="106" xr:uid="{00000000-0005-0000-0000-000028000000}"/>
    <cellStyle name="Normal 5 2 2" xfId="182" xr:uid="{00000000-0005-0000-0000-000028000000}"/>
    <cellStyle name="Normal 5 2 2 2" xfId="327" xr:uid="{00000000-0005-0000-0000-000028000000}"/>
    <cellStyle name="Normal 5 2 2 2 2" xfId="1091" xr:uid="{00000000-0005-0000-0000-000028000000}"/>
    <cellStyle name="Normal 5 2 2 2 2 2" xfId="4086" xr:uid="{00000000-0005-0000-0000-000028000000}"/>
    <cellStyle name="Normal 5 2 2 2 3" xfId="2841" xr:uid="{00000000-0005-0000-0000-000028000000}"/>
    <cellStyle name="Normal 5 2 2 2 3 2" xfId="5835" xr:uid="{00000000-0005-0000-0000-000028000000}"/>
    <cellStyle name="Normal 5 2 2 2 4" xfId="3350" xr:uid="{00000000-0005-0000-0000-000028000000}"/>
    <cellStyle name="Normal 5 2 2 3" xfId="1450" xr:uid="{00000000-0005-0000-0000-000028000000}"/>
    <cellStyle name="Normal 5 2 2 3 2" xfId="4445" xr:uid="{00000000-0005-0000-0000-000028000000}"/>
    <cellStyle name="Normal 5 2 2 4" xfId="653" xr:uid="{00000000-0005-0000-0000-000028000000}"/>
    <cellStyle name="Normal 5 2 2 4 2" xfId="3652" xr:uid="{00000000-0005-0000-0000-000028000000}"/>
    <cellStyle name="Normal 5 2 2 5" xfId="2505" xr:uid="{00000000-0005-0000-0000-000028000000}"/>
    <cellStyle name="Normal 5 2 2 5 2" xfId="5499" xr:uid="{00000000-0005-0000-0000-000028000000}"/>
    <cellStyle name="Normal 5 2 2 6" xfId="3205" xr:uid="{00000000-0005-0000-0000-000028000000}"/>
    <cellStyle name="Normal 5 2 3" xfId="253" xr:uid="{00000000-0005-0000-0000-000028000000}"/>
    <cellStyle name="Normal 5 2 3 2" xfId="1022" xr:uid="{00000000-0005-0000-0000-000028000000}"/>
    <cellStyle name="Normal 5 2 3 2 2" xfId="4017" xr:uid="{00000000-0005-0000-0000-000028000000}"/>
    <cellStyle name="Normal 5 2 3 3" xfId="2769" xr:uid="{00000000-0005-0000-0000-000028000000}"/>
    <cellStyle name="Normal 5 2 3 3 2" xfId="5763" xr:uid="{00000000-0005-0000-0000-000028000000}"/>
    <cellStyle name="Normal 5 2 3 4" xfId="3276" xr:uid="{00000000-0005-0000-0000-000028000000}"/>
    <cellStyle name="Normal 5 2 4" xfId="398" xr:uid="{00000000-0005-0000-0000-000028000000}"/>
    <cellStyle name="Normal 5 2 4 2" xfId="1378" xr:uid="{00000000-0005-0000-0000-000028000000}"/>
    <cellStyle name="Normal 5 2 4 2 2" xfId="4373" xr:uid="{00000000-0005-0000-0000-000028000000}"/>
    <cellStyle name="Normal 5 2 4 3" xfId="3421" xr:uid="{00000000-0005-0000-0000-000028000000}"/>
    <cellStyle name="Normal 5 2 5" xfId="581" xr:uid="{00000000-0005-0000-0000-000028000000}"/>
    <cellStyle name="Normal 5 2 5 2" xfId="3580" xr:uid="{00000000-0005-0000-0000-000028000000}"/>
    <cellStyle name="Normal 5 2 6" xfId="2433" xr:uid="{00000000-0005-0000-0000-000028000000}"/>
    <cellStyle name="Normal 5 2 6 2" xfId="5427" xr:uid="{00000000-0005-0000-0000-000028000000}"/>
    <cellStyle name="Normal 5 2 7" xfId="3131" xr:uid="{00000000-0005-0000-0000-000028000000}"/>
    <cellStyle name="Normal 5 3" xfId="126" xr:uid="{00000000-0005-0000-0000-000028000000}"/>
    <cellStyle name="Normal 5 3 2" xfId="199" xr:uid="{00000000-0005-0000-0000-000028000000}"/>
    <cellStyle name="Normal 5 3 2 2" xfId="344" xr:uid="{00000000-0005-0000-0000-000028000000}"/>
    <cellStyle name="Normal 5 3 2 2 2" xfId="1109" xr:uid="{00000000-0005-0000-0000-000028000000}"/>
    <cellStyle name="Normal 5 3 2 2 2 2" xfId="4104" xr:uid="{00000000-0005-0000-0000-000028000000}"/>
    <cellStyle name="Normal 5 3 2 2 3" xfId="2859" xr:uid="{00000000-0005-0000-0000-000028000000}"/>
    <cellStyle name="Normal 5 3 2 2 3 2" xfId="5853" xr:uid="{00000000-0005-0000-0000-000028000000}"/>
    <cellStyle name="Normal 5 3 2 2 4" xfId="3367" xr:uid="{00000000-0005-0000-0000-000028000000}"/>
    <cellStyle name="Normal 5 3 2 3" xfId="1468" xr:uid="{00000000-0005-0000-0000-000028000000}"/>
    <cellStyle name="Normal 5 3 2 3 2" xfId="4463" xr:uid="{00000000-0005-0000-0000-000028000000}"/>
    <cellStyle name="Normal 5 3 2 4" xfId="671" xr:uid="{00000000-0005-0000-0000-000028000000}"/>
    <cellStyle name="Normal 5 3 2 4 2" xfId="3670" xr:uid="{00000000-0005-0000-0000-000028000000}"/>
    <cellStyle name="Normal 5 3 2 5" xfId="2523" xr:uid="{00000000-0005-0000-0000-000028000000}"/>
    <cellStyle name="Normal 5 3 2 5 2" xfId="5517" xr:uid="{00000000-0005-0000-0000-000028000000}"/>
    <cellStyle name="Normal 5 3 2 6" xfId="3222" xr:uid="{00000000-0005-0000-0000-000028000000}"/>
    <cellStyle name="Normal 5 3 3" xfId="271" xr:uid="{00000000-0005-0000-0000-000028000000}"/>
    <cellStyle name="Normal 5 3 3 2" xfId="1038" xr:uid="{00000000-0005-0000-0000-000028000000}"/>
    <cellStyle name="Normal 5 3 3 2 2" xfId="4033" xr:uid="{00000000-0005-0000-0000-000028000000}"/>
    <cellStyle name="Normal 5 3 3 3" xfId="2787" xr:uid="{00000000-0005-0000-0000-000028000000}"/>
    <cellStyle name="Normal 5 3 3 3 2" xfId="5781" xr:uid="{00000000-0005-0000-0000-000028000000}"/>
    <cellStyle name="Normal 5 3 3 4" xfId="3294" xr:uid="{00000000-0005-0000-0000-000028000000}"/>
    <cellStyle name="Normal 5 3 4" xfId="416" xr:uid="{00000000-0005-0000-0000-000028000000}"/>
    <cellStyle name="Normal 5 3 4 2" xfId="1396" xr:uid="{00000000-0005-0000-0000-000028000000}"/>
    <cellStyle name="Normal 5 3 4 2 2" xfId="4391" xr:uid="{00000000-0005-0000-0000-000028000000}"/>
    <cellStyle name="Normal 5 3 4 3" xfId="3439" xr:uid="{00000000-0005-0000-0000-000028000000}"/>
    <cellStyle name="Normal 5 3 5" xfId="599" xr:uid="{00000000-0005-0000-0000-000028000000}"/>
    <cellStyle name="Normal 5 3 5 2" xfId="3598" xr:uid="{00000000-0005-0000-0000-000028000000}"/>
    <cellStyle name="Normal 5 3 6" xfId="2451" xr:uid="{00000000-0005-0000-0000-000028000000}"/>
    <cellStyle name="Normal 5 3 6 2" xfId="5445" xr:uid="{00000000-0005-0000-0000-000028000000}"/>
    <cellStyle name="Normal 5 3 7" xfId="3149" xr:uid="{00000000-0005-0000-0000-000028000000}"/>
    <cellStyle name="Normal 5 4" xfId="87" xr:uid="{00000000-0005-0000-0000-000028000000}"/>
    <cellStyle name="Normal 5 4 2" xfId="165" xr:uid="{00000000-0005-0000-0000-000028000000}"/>
    <cellStyle name="Normal 5 4 2 2" xfId="310" xr:uid="{00000000-0005-0000-0000-000028000000}"/>
    <cellStyle name="Normal 5 4 2 2 2" xfId="1073" xr:uid="{00000000-0005-0000-0000-000028000000}"/>
    <cellStyle name="Normal 5 4 2 2 2 2" xfId="4068" xr:uid="{00000000-0005-0000-0000-000028000000}"/>
    <cellStyle name="Normal 5 4 2 2 3" xfId="2823" xr:uid="{00000000-0005-0000-0000-000028000000}"/>
    <cellStyle name="Normal 5 4 2 2 3 2" xfId="5817" xr:uid="{00000000-0005-0000-0000-000028000000}"/>
    <cellStyle name="Normal 5 4 2 2 4" xfId="3333" xr:uid="{00000000-0005-0000-0000-000028000000}"/>
    <cellStyle name="Normal 5 4 2 3" xfId="1432" xr:uid="{00000000-0005-0000-0000-000028000000}"/>
    <cellStyle name="Normal 5 4 2 3 2" xfId="4427" xr:uid="{00000000-0005-0000-0000-000028000000}"/>
    <cellStyle name="Normal 5 4 2 4" xfId="635" xr:uid="{00000000-0005-0000-0000-000028000000}"/>
    <cellStyle name="Normal 5 4 2 4 2" xfId="3634" xr:uid="{00000000-0005-0000-0000-000028000000}"/>
    <cellStyle name="Normal 5 4 2 5" xfId="2487" xr:uid="{00000000-0005-0000-0000-000028000000}"/>
    <cellStyle name="Normal 5 4 2 5 2" xfId="5481" xr:uid="{00000000-0005-0000-0000-000028000000}"/>
    <cellStyle name="Normal 5 4 2 6" xfId="3188" xr:uid="{00000000-0005-0000-0000-000028000000}"/>
    <cellStyle name="Normal 5 4 3" xfId="235" xr:uid="{00000000-0005-0000-0000-000028000000}"/>
    <cellStyle name="Normal 5 4 3 2" xfId="1006" xr:uid="{00000000-0005-0000-0000-000028000000}"/>
    <cellStyle name="Normal 5 4 3 2 2" xfId="4001" xr:uid="{00000000-0005-0000-0000-000028000000}"/>
    <cellStyle name="Normal 5 4 3 3" xfId="2752" xr:uid="{00000000-0005-0000-0000-000028000000}"/>
    <cellStyle name="Normal 5 4 3 3 2" xfId="5746" xr:uid="{00000000-0005-0000-0000-000028000000}"/>
    <cellStyle name="Normal 5 4 3 4" xfId="3258" xr:uid="{00000000-0005-0000-0000-000028000000}"/>
    <cellStyle name="Normal 5 4 4" xfId="380" xr:uid="{00000000-0005-0000-0000-000028000000}"/>
    <cellStyle name="Normal 5 4 4 2" xfId="1361" xr:uid="{00000000-0005-0000-0000-000028000000}"/>
    <cellStyle name="Normal 5 4 4 2 2" xfId="4356" xr:uid="{00000000-0005-0000-0000-000028000000}"/>
    <cellStyle name="Normal 5 4 4 3" xfId="3403" xr:uid="{00000000-0005-0000-0000-000028000000}"/>
    <cellStyle name="Normal 5 4 5" xfId="564" xr:uid="{00000000-0005-0000-0000-000028000000}"/>
    <cellStyle name="Normal 5 4 5 2" xfId="3563" xr:uid="{00000000-0005-0000-0000-000028000000}"/>
    <cellStyle name="Normal 5 4 6" xfId="2415" xr:uid="{00000000-0005-0000-0000-000028000000}"/>
    <cellStyle name="Normal 5 4 6 2" xfId="5409" xr:uid="{00000000-0005-0000-0000-000028000000}"/>
    <cellStyle name="Normal 5 4 7" xfId="3113" xr:uid="{00000000-0005-0000-0000-000028000000}"/>
    <cellStyle name="Normal 5 5" xfId="148" xr:uid="{00000000-0005-0000-0000-000028000000}"/>
    <cellStyle name="Normal 5 5 2" xfId="293" xr:uid="{00000000-0005-0000-0000-000028000000}"/>
    <cellStyle name="Normal 5 5 2 2" xfId="1131" xr:uid="{00000000-0005-0000-0000-000028000000}"/>
    <cellStyle name="Normal 5 5 2 2 2" xfId="4126" xr:uid="{00000000-0005-0000-0000-000028000000}"/>
    <cellStyle name="Normal 5 5 2 3" xfId="2884" xr:uid="{00000000-0005-0000-0000-000028000000}"/>
    <cellStyle name="Normal 5 5 2 3 2" xfId="5878" xr:uid="{00000000-0005-0000-0000-000028000000}"/>
    <cellStyle name="Normal 5 5 2 4" xfId="3316" xr:uid="{00000000-0005-0000-0000-000028000000}"/>
    <cellStyle name="Normal 5 5 3" xfId="1493" xr:uid="{00000000-0005-0000-0000-000028000000}"/>
    <cellStyle name="Normal 5 5 3 2" xfId="4488" xr:uid="{00000000-0005-0000-0000-000028000000}"/>
    <cellStyle name="Normal 5 5 4" xfId="698" xr:uid="{00000000-0005-0000-0000-000028000000}"/>
    <cellStyle name="Normal 5 5 4 2" xfId="3695" xr:uid="{00000000-0005-0000-0000-000028000000}"/>
    <cellStyle name="Normal 5 5 5" xfId="2549" xr:uid="{00000000-0005-0000-0000-000028000000}"/>
    <cellStyle name="Normal 5 5 5 2" xfId="5543" xr:uid="{00000000-0005-0000-0000-000028000000}"/>
    <cellStyle name="Normal 5 5 6" xfId="3171" xr:uid="{00000000-0005-0000-0000-000028000000}"/>
    <cellStyle name="Normal 5 6" xfId="217" xr:uid="{00000000-0005-0000-0000-000028000000}"/>
    <cellStyle name="Normal 5 6 2" xfId="1055" xr:uid="{00000000-0005-0000-0000-000028000000}"/>
    <cellStyle name="Normal 5 6 2 2" xfId="2805" xr:uid="{00000000-0005-0000-0000-000028000000}"/>
    <cellStyle name="Normal 5 6 2 2 2" xfId="5799" xr:uid="{00000000-0005-0000-0000-000028000000}"/>
    <cellStyle name="Normal 5 6 2 3" xfId="4050" xr:uid="{00000000-0005-0000-0000-000028000000}"/>
    <cellStyle name="Normal 5 6 3" xfId="1414" xr:uid="{00000000-0005-0000-0000-000028000000}"/>
    <cellStyle name="Normal 5 6 3 2" xfId="4409" xr:uid="{00000000-0005-0000-0000-000028000000}"/>
    <cellStyle name="Normal 5 6 4" xfId="617" xr:uid="{00000000-0005-0000-0000-000028000000}"/>
    <cellStyle name="Normal 5 6 4 2" xfId="3616" xr:uid="{00000000-0005-0000-0000-000028000000}"/>
    <cellStyle name="Normal 5 6 5" xfId="2469" xr:uid="{00000000-0005-0000-0000-000028000000}"/>
    <cellStyle name="Normal 5 6 5 2" xfId="5463" xr:uid="{00000000-0005-0000-0000-000028000000}"/>
    <cellStyle name="Normal 5 6 6" xfId="3240" xr:uid="{00000000-0005-0000-0000-000028000000}"/>
    <cellStyle name="Normal 5 7" xfId="362" xr:uid="{00000000-0005-0000-0000-000028000000}"/>
    <cellStyle name="Normal 5 7 2" xfId="1158" xr:uid="{00000000-0005-0000-0000-000028000000}"/>
    <cellStyle name="Normal 5 7 2 2" xfId="4153" xr:uid="{00000000-0005-0000-0000-000028000000}"/>
    <cellStyle name="Normal 5 7 3" xfId="1598" xr:uid="{00000000-0005-0000-0000-000028000000}"/>
    <cellStyle name="Normal 5 7 3 2" xfId="4593" xr:uid="{00000000-0005-0000-0000-000028000000}"/>
    <cellStyle name="Normal 5 7 4" xfId="804" xr:uid="{00000000-0005-0000-0000-000028000000}"/>
    <cellStyle name="Normal 5 7 4 2" xfId="3800" xr:uid="{00000000-0005-0000-0000-000028000000}"/>
    <cellStyle name="Normal 5 7 5" xfId="2989" xr:uid="{00000000-0005-0000-0000-000028000000}"/>
    <cellStyle name="Normal 5 7 5 2" xfId="5983" xr:uid="{00000000-0005-0000-0000-000028000000}"/>
    <cellStyle name="Normal 5 7 6" xfId="3385" xr:uid="{00000000-0005-0000-0000-000028000000}"/>
    <cellStyle name="Normal 5 8" xfId="893" xr:uid="{00000000-0005-0000-0000-000028000000}"/>
    <cellStyle name="Normal 5 8 2" xfId="2654" xr:uid="{00000000-0005-0000-0000-000028000000}"/>
    <cellStyle name="Normal 5 8 2 2" xfId="5648" xr:uid="{00000000-0005-0000-0000-000028000000}"/>
    <cellStyle name="Normal 5 8 3" xfId="3889" xr:uid="{00000000-0005-0000-0000-000028000000}"/>
    <cellStyle name="Normal 5 9" xfId="1263" xr:uid="{00000000-0005-0000-0000-000028000000}"/>
    <cellStyle name="Normal 5 9 2" xfId="4258" xr:uid="{00000000-0005-0000-0000-000028000000}"/>
    <cellStyle name="Normal 6" xfId="68" xr:uid="{00000000-0005-0000-0000-000029000000}"/>
    <cellStyle name="Normal 6 2" xfId="107" xr:uid="{00000000-0005-0000-0000-000029000000}"/>
    <cellStyle name="Normal 6 3" xfId="88" xr:uid="{00000000-0005-0000-0000-000029000000}"/>
    <cellStyle name="PP_Factors" xfId="45" xr:uid="{00000000-0005-0000-0000-00002A000000}"/>
    <cellStyle name="Price" xfId="10" xr:uid="{00000000-0005-0000-0000-00002B000000}"/>
    <cellStyle name="Qty" xfId="46" xr:uid="{00000000-0005-0000-0000-00002C000000}"/>
    <cellStyle name="SHOW_HIDDEN" xfId="47" xr:uid="{00000000-0005-0000-0000-00002D000000}"/>
    <cellStyle name="SubTotal" xfId="48" xr:uid="{00000000-0005-0000-0000-00002E000000}"/>
    <cellStyle name="Summa" xfId="49" xr:uid="{00000000-0005-0000-0000-00002F000000}"/>
    <cellStyle name="text" xfId="50" xr:uid="{00000000-0005-0000-0000-000030000000}"/>
    <cellStyle name="visible" xfId="53" xr:uid="{00000000-0005-0000-0000-000031000000}"/>
    <cellStyle name="zwischentotal" xfId="54" xr:uid="{00000000-0005-0000-0000-000032000000}"/>
    <cellStyle name="Гиперссылка 2" xfId="39" xr:uid="{00000000-0005-0000-0000-000033000000}"/>
    <cellStyle name="Денежный 10" xfId="783" xr:uid="{00000000-0005-0000-0000-00006E010000}"/>
    <cellStyle name="Денежный 10 2" xfId="1137" xr:uid="{00000000-0005-0000-0000-00006E010000}"/>
    <cellStyle name="Денежный 10 2 2" xfId="2037" xr:uid="{00000000-0005-0000-0000-00006E010000}"/>
    <cellStyle name="Денежный 10 2 2 2" xfId="5031" xr:uid="{00000000-0005-0000-0000-00006E010000}"/>
    <cellStyle name="Денежный 10 2 3" xfId="4132" xr:uid="{00000000-0005-0000-0000-00006E010000}"/>
    <cellStyle name="Денежный 10 3" xfId="1577" xr:uid="{00000000-0005-0000-0000-00006E010000}"/>
    <cellStyle name="Денежный 10 3 2" xfId="2297" xr:uid="{00000000-0005-0000-0000-00006E010000}"/>
    <cellStyle name="Денежный 10 3 2 2" xfId="5291" xr:uid="{00000000-0005-0000-0000-00006E010000}"/>
    <cellStyle name="Денежный 10 3 3" xfId="4572" xr:uid="{00000000-0005-0000-0000-00006E010000}"/>
    <cellStyle name="Денежный 10 4" xfId="1858" xr:uid="{00000000-0005-0000-0000-00006E010000}"/>
    <cellStyle name="Денежный 10 4 2" xfId="4853" xr:uid="{00000000-0005-0000-0000-00006E010000}"/>
    <cellStyle name="Денежный 10 5" xfId="2968" xr:uid="{00000000-0005-0000-0000-00006E010000}"/>
    <cellStyle name="Денежный 10 5 2" xfId="5962" xr:uid="{00000000-0005-0000-0000-00006E010000}"/>
    <cellStyle name="Денежный 10 6" xfId="3779" xr:uid="{00000000-0005-0000-0000-00006E010000}"/>
    <cellStyle name="Денежный 11" xfId="549" xr:uid="{00000000-0005-0000-0000-000022010000}"/>
    <cellStyle name="Денежный 11 2" xfId="992" xr:uid="{00000000-0005-0000-0000-000022010000}"/>
    <cellStyle name="Денежный 11 2 2" xfId="2027" xr:uid="{00000000-0005-0000-0000-000022010000}"/>
    <cellStyle name="Денежный 11 2 2 2" xfId="5021" xr:uid="{00000000-0005-0000-0000-000022010000}"/>
    <cellStyle name="Денежный 11 2 3" xfId="3987" xr:uid="{00000000-0005-0000-0000-000022010000}"/>
    <cellStyle name="Денежный 11 3" xfId="1346" xr:uid="{00000000-0005-0000-0000-000022010000}"/>
    <cellStyle name="Денежный 11 3 2" xfId="2205" xr:uid="{00000000-0005-0000-0000-000022010000}"/>
    <cellStyle name="Денежный 11 3 2 2" xfId="5199" xr:uid="{00000000-0005-0000-0000-000022010000}"/>
    <cellStyle name="Денежный 11 3 3" xfId="4341" xr:uid="{00000000-0005-0000-0000-000022010000}"/>
    <cellStyle name="Денежный 11 4" xfId="911" xr:uid="{69DD4D6D-E8BE-428B-8B47-E4AB8048E39B}"/>
    <cellStyle name="Денежный 11 4 2" xfId="1959" xr:uid="{69DD4D6D-E8BE-428B-8B47-E4AB8048E39B}"/>
    <cellStyle name="Денежный 11 4 2 2" xfId="4953" xr:uid="{69DD4D6D-E8BE-428B-8B47-E4AB8048E39B}"/>
    <cellStyle name="Денежный 11 4 3" xfId="3906" xr:uid="{69DD4D6D-E8BE-428B-8B47-E4AB8048E39B}"/>
    <cellStyle name="Денежный 11 5" xfId="1766" xr:uid="{00000000-0005-0000-0000-000022010000}"/>
    <cellStyle name="Денежный 11 5 2" xfId="4761" xr:uid="{00000000-0005-0000-0000-000022010000}"/>
    <cellStyle name="Денежный 11 6" xfId="2737" xr:uid="{00000000-0005-0000-0000-000022010000}"/>
    <cellStyle name="Денежный 11 6 2" xfId="5731" xr:uid="{00000000-0005-0000-0000-000022010000}"/>
    <cellStyle name="Денежный 11 7" xfId="3548" xr:uid="{00000000-0005-0000-0000-000022010000}"/>
    <cellStyle name="Денежный 12" xfId="432" xr:uid="{00000000-0005-0000-0000-0000BA000000}"/>
    <cellStyle name="Денежный 12 2" xfId="1682" xr:uid="{00000000-0005-0000-0000-0000BA000000}"/>
    <cellStyle name="Денежный 12 2 2" xfId="4677" xr:uid="{00000000-0005-0000-0000-0000BA000000}"/>
    <cellStyle name="Денежный 12 3" xfId="2633" xr:uid="{00000000-0005-0000-0000-0000BF010000}"/>
    <cellStyle name="Денежный 12 3 2" xfId="5627" xr:uid="{00000000-0005-0000-0000-0000BF010000}"/>
    <cellStyle name="Денежный 12 4" xfId="3445" xr:uid="{00000000-0005-0000-0000-0000BA000000}"/>
    <cellStyle name="Денежный 13" xfId="1242" xr:uid="{00000000-0005-0000-0000-0000E3030000}"/>
    <cellStyle name="Денежный 13 2" xfId="2121" xr:uid="{00000000-0005-0000-0000-0000E3030000}"/>
    <cellStyle name="Денежный 13 2 2" xfId="5115" xr:uid="{00000000-0005-0000-0000-0000E3030000}"/>
    <cellStyle name="Денежный 13 3" xfId="4237" xr:uid="{00000000-0005-0000-0000-0000E3030000}"/>
    <cellStyle name="Денежный 14" xfId="2400" xr:uid="{00000000-0005-0000-0000-00002A0A0000}"/>
    <cellStyle name="Денежный 14 2" xfId="5394" xr:uid="{00000000-0005-0000-0000-00002A0A0000}"/>
    <cellStyle name="Денежный 2" xfId="30" xr:uid="{00000000-0005-0000-0000-000034000000}"/>
    <cellStyle name="Денежный 2 10" xfId="1244" xr:uid="{03E3F6F0-BBA6-4054-8AF2-FDF310C0B26A}"/>
    <cellStyle name="Денежный 2 10 2" xfId="2122" xr:uid="{03E3F6F0-BBA6-4054-8AF2-FDF310C0B26A}"/>
    <cellStyle name="Денежный 2 10 2 2" xfId="5116" xr:uid="{03E3F6F0-BBA6-4054-8AF2-FDF310C0B26A}"/>
    <cellStyle name="Денежный 2 10 3" xfId="4239" xr:uid="{03E3F6F0-BBA6-4054-8AF2-FDF310C0B26A}"/>
    <cellStyle name="Денежный 2 11" xfId="1683" xr:uid="{03E3F6F0-BBA6-4054-8AF2-FDF310C0B26A}"/>
    <cellStyle name="Денежный 2 11 2" xfId="4678" xr:uid="{03E3F6F0-BBA6-4054-8AF2-FDF310C0B26A}"/>
    <cellStyle name="Денежный 2 12" xfId="435" xr:uid="{03E3F6F0-BBA6-4054-8AF2-FDF310C0B26A}"/>
    <cellStyle name="Денежный 2 12 2" xfId="3447" xr:uid="{03E3F6F0-BBA6-4054-8AF2-FDF310C0B26A}"/>
    <cellStyle name="Денежный 2 2" xfId="451" xr:uid="{00000000-0005-0000-0000-000034000000}"/>
    <cellStyle name="Денежный 2 3" xfId="471" xr:uid="{03E3F6F0-BBA6-4054-8AF2-FDF310C0B26A}"/>
    <cellStyle name="Денежный 2 3 10" xfId="2556" xr:uid="{03E3F6F0-BBA6-4054-8AF2-FDF310C0B26A}"/>
    <cellStyle name="Денежный 2 3 10 2" xfId="5550" xr:uid="{03E3F6F0-BBA6-4054-8AF2-FDF310C0B26A}"/>
    <cellStyle name="Денежный 2 3 11" xfId="3472" xr:uid="{03E3F6F0-BBA6-4054-8AF2-FDF310C0B26A}"/>
    <cellStyle name="Денежный 2 3 2" xfId="485" xr:uid="{03E3F6F0-BBA6-4054-8AF2-FDF310C0B26A}"/>
    <cellStyle name="Денежный 2 3 2 10" xfId="3486" xr:uid="{03E3F6F0-BBA6-4054-8AF2-FDF310C0B26A}"/>
    <cellStyle name="Денежный 2 3 2 2" xfId="515" xr:uid="{03E3F6F0-BBA6-4054-8AF2-FDF310C0B26A}"/>
    <cellStyle name="Денежный 2 3 2 2 2" xfId="853" xr:uid="{03E3F6F0-BBA6-4054-8AF2-FDF310C0B26A}"/>
    <cellStyle name="Денежный 2 3 2 2 2 2" xfId="1207" xr:uid="{03E3F6F0-BBA6-4054-8AF2-FDF310C0B26A}"/>
    <cellStyle name="Денежный 2 3 2 2 2 2 2" xfId="2087" xr:uid="{03E3F6F0-BBA6-4054-8AF2-FDF310C0B26A}"/>
    <cellStyle name="Денежный 2 3 2 2 2 2 2 2" xfId="5081" xr:uid="{03E3F6F0-BBA6-4054-8AF2-FDF310C0B26A}"/>
    <cellStyle name="Денежный 2 3 2 2 2 2 3" xfId="4202" xr:uid="{03E3F6F0-BBA6-4054-8AF2-FDF310C0B26A}"/>
    <cellStyle name="Денежный 2 3 2 2 2 3" xfId="1647" xr:uid="{03E3F6F0-BBA6-4054-8AF2-FDF310C0B26A}"/>
    <cellStyle name="Денежный 2 3 2 2 2 3 2" xfId="2347" xr:uid="{03E3F6F0-BBA6-4054-8AF2-FDF310C0B26A}"/>
    <cellStyle name="Денежный 2 3 2 2 2 3 2 2" xfId="5341" xr:uid="{03E3F6F0-BBA6-4054-8AF2-FDF310C0B26A}"/>
    <cellStyle name="Денежный 2 3 2 2 2 3 3" xfId="4642" xr:uid="{03E3F6F0-BBA6-4054-8AF2-FDF310C0B26A}"/>
    <cellStyle name="Денежный 2 3 2 2 2 4" xfId="1908" xr:uid="{03E3F6F0-BBA6-4054-8AF2-FDF310C0B26A}"/>
    <cellStyle name="Денежный 2 3 2 2 2 4 2" xfId="4903" xr:uid="{03E3F6F0-BBA6-4054-8AF2-FDF310C0B26A}"/>
    <cellStyle name="Денежный 2 3 2 2 2 5" xfId="3038" xr:uid="{03E3F6F0-BBA6-4054-8AF2-FDF310C0B26A}"/>
    <cellStyle name="Денежный 2 3 2 2 2 5 2" xfId="6032" xr:uid="{03E3F6F0-BBA6-4054-8AF2-FDF310C0B26A}"/>
    <cellStyle name="Денежный 2 3 2 2 2 6" xfId="3849" xr:uid="{03E3F6F0-BBA6-4054-8AF2-FDF310C0B26A}"/>
    <cellStyle name="Денежный 2 3 2 2 3" xfId="748" xr:uid="{03E3F6F0-BBA6-4054-8AF2-FDF310C0B26A}"/>
    <cellStyle name="Денежный 2 3 2 2 3 2" xfId="1542" xr:uid="{03E3F6F0-BBA6-4054-8AF2-FDF310C0B26A}"/>
    <cellStyle name="Денежный 2 3 2 2 3 2 2" xfId="2263" xr:uid="{03E3F6F0-BBA6-4054-8AF2-FDF310C0B26A}"/>
    <cellStyle name="Денежный 2 3 2 2 3 2 2 2" xfId="5257" xr:uid="{03E3F6F0-BBA6-4054-8AF2-FDF310C0B26A}"/>
    <cellStyle name="Денежный 2 3 2 2 3 2 3" xfId="4537" xr:uid="{03E3F6F0-BBA6-4054-8AF2-FDF310C0B26A}"/>
    <cellStyle name="Денежный 2 3 2 2 3 3" xfId="1824" xr:uid="{03E3F6F0-BBA6-4054-8AF2-FDF310C0B26A}"/>
    <cellStyle name="Денежный 2 3 2 2 3 3 2" xfId="4819" xr:uid="{03E3F6F0-BBA6-4054-8AF2-FDF310C0B26A}"/>
    <cellStyle name="Денежный 2 3 2 2 3 4" xfId="2933" xr:uid="{03E3F6F0-BBA6-4054-8AF2-FDF310C0B26A}"/>
    <cellStyle name="Денежный 2 3 2 2 3 4 2" xfId="5927" xr:uid="{03E3F6F0-BBA6-4054-8AF2-FDF310C0B26A}"/>
    <cellStyle name="Денежный 2 3 2 2 3 5" xfId="3744" xr:uid="{03E3F6F0-BBA6-4054-8AF2-FDF310C0B26A}"/>
    <cellStyle name="Денежный 2 3 2 2 4" xfId="938" xr:uid="{03E3F6F0-BBA6-4054-8AF2-FDF310C0B26A}"/>
    <cellStyle name="Денежный 2 3 2 2 4 2" xfId="1983" xr:uid="{03E3F6F0-BBA6-4054-8AF2-FDF310C0B26A}"/>
    <cellStyle name="Денежный 2 3 2 2 4 2 2" xfId="4977" xr:uid="{03E3F6F0-BBA6-4054-8AF2-FDF310C0B26A}"/>
    <cellStyle name="Денежный 2 3 2 2 4 3" xfId="2703" xr:uid="{03E3F6F0-BBA6-4054-8AF2-FDF310C0B26A}"/>
    <cellStyle name="Денежный 2 3 2 2 4 3 2" xfId="5697" xr:uid="{03E3F6F0-BBA6-4054-8AF2-FDF310C0B26A}"/>
    <cellStyle name="Денежный 2 3 2 2 4 4" xfId="3933" xr:uid="{03E3F6F0-BBA6-4054-8AF2-FDF310C0B26A}"/>
    <cellStyle name="Денежный 2 3 2 2 5" xfId="1312" xr:uid="{03E3F6F0-BBA6-4054-8AF2-FDF310C0B26A}"/>
    <cellStyle name="Денежный 2 3 2 2 5 2" xfId="2171" xr:uid="{03E3F6F0-BBA6-4054-8AF2-FDF310C0B26A}"/>
    <cellStyle name="Денежный 2 3 2 2 5 2 2" xfId="5165" xr:uid="{03E3F6F0-BBA6-4054-8AF2-FDF310C0B26A}"/>
    <cellStyle name="Денежный 2 3 2 2 5 3" xfId="4307" xr:uid="{03E3F6F0-BBA6-4054-8AF2-FDF310C0B26A}"/>
    <cellStyle name="Денежный 2 3 2 2 6" xfId="1732" xr:uid="{03E3F6F0-BBA6-4054-8AF2-FDF310C0B26A}"/>
    <cellStyle name="Денежный 2 3 2 2 6 2" xfId="4727" xr:uid="{03E3F6F0-BBA6-4054-8AF2-FDF310C0B26A}"/>
    <cellStyle name="Денежный 2 3 2 2 7" xfId="2598" xr:uid="{03E3F6F0-BBA6-4054-8AF2-FDF310C0B26A}"/>
    <cellStyle name="Денежный 2 3 2 2 7 2" xfId="5592" xr:uid="{03E3F6F0-BBA6-4054-8AF2-FDF310C0B26A}"/>
    <cellStyle name="Денежный 2 3 2 2 8" xfId="3514" xr:uid="{03E3F6F0-BBA6-4054-8AF2-FDF310C0B26A}"/>
    <cellStyle name="Денежный 2 3 2 3" xfId="543" xr:uid="{03E3F6F0-BBA6-4054-8AF2-FDF310C0B26A}"/>
    <cellStyle name="Денежный 2 3 2 3 2" xfId="881" xr:uid="{03E3F6F0-BBA6-4054-8AF2-FDF310C0B26A}"/>
    <cellStyle name="Денежный 2 3 2 3 2 2" xfId="1235" xr:uid="{03E3F6F0-BBA6-4054-8AF2-FDF310C0B26A}"/>
    <cellStyle name="Денежный 2 3 2 3 2 2 2" xfId="2115" xr:uid="{03E3F6F0-BBA6-4054-8AF2-FDF310C0B26A}"/>
    <cellStyle name="Денежный 2 3 2 3 2 2 2 2" xfId="5109" xr:uid="{03E3F6F0-BBA6-4054-8AF2-FDF310C0B26A}"/>
    <cellStyle name="Денежный 2 3 2 3 2 2 3" xfId="4230" xr:uid="{03E3F6F0-BBA6-4054-8AF2-FDF310C0B26A}"/>
    <cellStyle name="Денежный 2 3 2 3 2 3" xfId="1675" xr:uid="{03E3F6F0-BBA6-4054-8AF2-FDF310C0B26A}"/>
    <cellStyle name="Денежный 2 3 2 3 2 3 2" xfId="2375" xr:uid="{03E3F6F0-BBA6-4054-8AF2-FDF310C0B26A}"/>
    <cellStyle name="Денежный 2 3 2 3 2 3 2 2" xfId="5369" xr:uid="{03E3F6F0-BBA6-4054-8AF2-FDF310C0B26A}"/>
    <cellStyle name="Денежный 2 3 2 3 2 3 3" xfId="4670" xr:uid="{03E3F6F0-BBA6-4054-8AF2-FDF310C0B26A}"/>
    <cellStyle name="Денежный 2 3 2 3 2 4" xfId="1936" xr:uid="{03E3F6F0-BBA6-4054-8AF2-FDF310C0B26A}"/>
    <cellStyle name="Денежный 2 3 2 3 2 4 2" xfId="4931" xr:uid="{03E3F6F0-BBA6-4054-8AF2-FDF310C0B26A}"/>
    <cellStyle name="Денежный 2 3 2 3 2 5" xfId="3066" xr:uid="{03E3F6F0-BBA6-4054-8AF2-FDF310C0B26A}"/>
    <cellStyle name="Денежный 2 3 2 3 2 5 2" xfId="6060" xr:uid="{03E3F6F0-BBA6-4054-8AF2-FDF310C0B26A}"/>
    <cellStyle name="Денежный 2 3 2 3 2 6" xfId="3877" xr:uid="{03E3F6F0-BBA6-4054-8AF2-FDF310C0B26A}"/>
    <cellStyle name="Денежный 2 3 2 3 3" xfId="776" xr:uid="{03E3F6F0-BBA6-4054-8AF2-FDF310C0B26A}"/>
    <cellStyle name="Денежный 2 3 2 3 3 2" xfId="1570" xr:uid="{03E3F6F0-BBA6-4054-8AF2-FDF310C0B26A}"/>
    <cellStyle name="Денежный 2 3 2 3 3 2 2" xfId="2291" xr:uid="{03E3F6F0-BBA6-4054-8AF2-FDF310C0B26A}"/>
    <cellStyle name="Денежный 2 3 2 3 3 2 2 2" xfId="5285" xr:uid="{03E3F6F0-BBA6-4054-8AF2-FDF310C0B26A}"/>
    <cellStyle name="Денежный 2 3 2 3 3 2 3" xfId="4565" xr:uid="{03E3F6F0-BBA6-4054-8AF2-FDF310C0B26A}"/>
    <cellStyle name="Денежный 2 3 2 3 3 3" xfId="1852" xr:uid="{03E3F6F0-BBA6-4054-8AF2-FDF310C0B26A}"/>
    <cellStyle name="Денежный 2 3 2 3 3 3 2" xfId="4847" xr:uid="{03E3F6F0-BBA6-4054-8AF2-FDF310C0B26A}"/>
    <cellStyle name="Денежный 2 3 2 3 3 4" xfId="2961" xr:uid="{03E3F6F0-BBA6-4054-8AF2-FDF310C0B26A}"/>
    <cellStyle name="Денежный 2 3 2 3 3 4 2" xfId="5955" xr:uid="{03E3F6F0-BBA6-4054-8AF2-FDF310C0B26A}"/>
    <cellStyle name="Денежный 2 3 2 3 3 5" xfId="3772" xr:uid="{03E3F6F0-BBA6-4054-8AF2-FDF310C0B26A}"/>
    <cellStyle name="Денежный 2 3 2 3 4" xfId="986" xr:uid="{03E3F6F0-BBA6-4054-8AF2-FDF310C0B26A}"/>
    <cellStyle name="Денежный 2 3 2 3 4 2" xfId="2021" xr:uid="{03E3F6F0-BBA6-4054-8AF2-FDF310C0B26A}"/>
    <cellStyle name="Денежный 2 3 2 3 4 2 2" xfId="5015" xr:uid="{03E3F6F0-BBA6-4054-8AF2-FDF310C0B26A}"/>
    <cellStyle name="Денежный 2 3 2 3 4 3" xfId="2731" xr:uid="{03E3F6F0-BBA6-4054-8AF2-FDF310C0B26A}"/>
    <cellStyle name="Денежный 2 3 2 3 4 3 2" xfId="5725" xr:uid="{03E3F6F0-BBA6-4054-8AF2-FDF310C0B26A}"/>
    <cellStyle name="Денежный 2 3 2 3 4 4" xfId="3981" xr:uid="{03E3F6F0-BBA6-4054-8AF2-FDF310C0B26A}"/>
    <cellStyle name="Денежный 2 3 2 3 5" xfId="1340" xr:uid="{03E3F6F0-BBA6-4054-8AF2-FDF310C0B26A}"/>
    <cellStyle name="Денежный 2 3 2 3 5 2" xfId="2199" xr:uid="{03E3F6F0-BBA6-4054-8AF2-FDF310C0B26A}"/>
    <cellStyle name="Денежный 2 3 2 3 5 2 2" xfId="5193" xr:uid="{03E3F6F0-BBA6-4054-8AF2-FDF310C0B26A}"/>
    <cellStyle name="Денежный 2 3 2 3 5 3" xfId="4335" xr:uid="{03E3F6F0-BBA6-4054-8AF2-FDF310C0B26A}"/>
    <cellStyle name="Денежный 2 3 2 3 6" xfId="1760" xr:uid="{03E3F6F0-BBA6-4054-8AF2-FDF310C0B26A}"/>
    <cellStyle name="Денежный 2 3 2 3 6 2" xfId="4755" xr:uid="{03E3F6F0-BBA6-4054-8AF2-FDF310C0B26A}"/>
    <cellStyle name="Денежный 2 3 2 3 7" xfId="2626" xr:uid="{03E3F6F0-BBA6-4054-8AF2-FDF310C0B26A}"/>
    <cellStyle name="Денежный 2 3 2 3 7 2" xfId="5620" xr:uid="{03E3F6F0-BBA6-4054-8AF2-FDF310C0B26A}"/>
    <cellStyle name="Денежный 2 3 2 3 8" xfId="3542" xr:uid="{03E3F6F0-BBA6-4054-8AF2-FDF310C0B26A}"/>
    <cellStyle name="Денежный 2 3 2 4" xfId="825" xr:uid="{03E3F6F0-BBA6-4054-8AF2-FDF310C0B26A}"/>
    <cellStyle name="Денежный 2 3 2 4 2" xfId="1179" xr:uid="{03E3F6F0-BBA6-4054-8AF2-FDF310C0B26A}"/>
    <cellStyle name="Денежный 2 3 2 4 2 2" xfId="2059" xr:uid="{03E3F6F0-BBA6-4054-8AF2-FDF310C0B26A}"/>
    <cellStyle name="Денежный 2 3 2 4 2 2 2" xfId="5053" xr:uid="{03E3F6F0-BBA6-4054-8AF2-FDF310C0B26A}"/>
    <cellStyle name="Денежный 2 3 2 4 2 3" xfId="4174" xr:uid="{03E3F6F0-BBA6-4054-8AF2-FDF310C0B26A}"/>
    <cellStyle name="Денежный 2 3 2 4 3" xfId="1619" xr:uid="{03E3F6F0-BBA6-4054-8AF2-FDF310C0B26A}"/>
    <cellStyle name="Денежный 2 3 2 4 3 2" xfId="2319" xr:uid="{03E3F6F0-BBA6-4054-8AF2-FDF310C0B26A}"/>
    <cellStyle name="Денежный 2 3 2 4 3 2 2" xfId="5313" xr:uid="{03E3F6F0-BBA6-4054-8AF2-FDF310C0B26A}"/>
    <cellStyle name="Денежный 2 3 2 4 3 3" xfId="4614" xr:uid="{03E3F6F0-BBA6-4054-8AF2-FDF310C0B26A}"/>
    <cellStyle name="Денежный 2 3 2 4 4" xfId="1880" xr:uid="{03E3F6F0-BBA6-4054-8AF2-FDF310C0B26A}"/>
    <cellStyle name="Денежный 2 3 2 4 4 2" xfId="4875" xr:uid="{03E3F6F0-BBA6-4054-8AF2-FDF310C0B26A}"/>
    <cellStyle name="Денежный 2 3 2 4 5" xfId="3010" xr:uid="{03E3F6F0-BBA6-4054-8AF2-FDF310C0B26A}"/>
    <cellStyle name="Денежный 2 3 2 4 5 2" xfId="6004" xr:uid="{03E3F6F0-BBA6-4054-8AF2-FDF310C0B26A}"/>
    <cellStyle name="Денежный 2 3 2 4 6" xfId="3821" xr:uid="{03E3F6F0-BBA6-4054-8AF2-FDF310C0B26A}"/>
    <cellStyle name="Денежный 2 3 2 5" xfId="719" xr:uid="{03E3F6F0-BBA6-4054-8AF2-FDF310C0B26A}"/>
    <cellStyle name="Денежный 2 3 2 5 2" xfId="1514" xr:uid="{03E3F6F0-BBA6-4054-8AF2-FDF310C0B26A}"/>
    <cellStyle name="Денежный 2 3 2 5 2 2" xfId="2235" xr:uid="{03E3F6F0-BBA6-4054-8AF2-FDF310C0B26A}"/>
    <cellStyle name="Денежный 2 3 2 5 2 2 2" xfId="5229" xr:uid="{03E3F6F0-BBA6-4054-8AF2-FDF310C0B26A}"/>
    <cellStyle name="Денежный 2 3 2 5 2 3" xfId="4509" xr:uid="{03E3F6F0-BBA6-4054-8AF2-FDF310C0B26A}"/>
    <cellStyle name="Денежный 2 3 2 5 3" xfId="1796" xr:uid="{03E3F6F0-BBA6-4054-8AF2-FDF310C0B26A}"/>
    <cellStyle name="Денежный 2 3 2 5 3 2" xfId="4791" xr:uid="{03E3F6F0-BBA6-4054-8AF2-FDF310C0B26A}"/>
    <cellStyle name="Денежный 2 3 2 5 4" xfId="2905" xr:uid="{03E3F6F0-BBA6-4054-8AF2-FDF310C0B26A}"/>
    <cellStyle name="Денежный 2 3 2 5 4 2" xfId="5899" xr:uid="{03E3F6F0-BBA6-4054-8AF2-FDF310C0B26A}"/>
    <cellStyle name="Денежный 2 3 2 5 5" xfId="3716" xr:uid="{03E3F6F0-BBA6-4054-8AF2-FDF310C0B26A}"/>
    <cellStyle name="Денежный 2 3 2 6" xfId="903" xr:uid="{03E3F6F0-BBA6-4054-8AF2-FDF310C0B26A}"/>
    <cellStyle name="Денежный 2 3 2 6 2" xfId="1953" xr:uid="{03E3F6F0-BBA6-4054-8AF2-FDF310C0B26A}"/>
    <cellStyle name="Денежный 2 3 2 6 2 2" xfId="4948" xr:uid="{03E3F6F0-BBA6-4054-8AF2-FDF310C0B26A}"/>
    <cellStyle name="Денежный 2 3 2 6 3" xfId="2675" xr:uid="{03E3F6F0-BBA6-4054-8AF2-FDF310C0B26A}"/>
    <cellStyle name="Денежный 2 3 2 6 3 2" xfId="5669" xr:uid="{03E3F6F0-BBA6-4054-8AF2-FDF310C0B26A}"/>
    <cellStyle name="Денежный 2 3 2 6 4" xfId="3899" xr:uid="{03E3F6F0-BBA6-4054-8AF2-FDF310C0B26A}"/>
    <cellStyle name="Денежный 2 3 2 7" xfId="1284" xr:uid="{03E3F6F0-BBA6-4054-8AF2-FDF310C0B26A}"/>
    <cellStyle name="Денежный 2 3 2 7 2" xfId="2143" xr:uid="{03E3F6F0-BBA6-4054-8AF2-FDF310C0B26A}"/>
    <cellStyle name="Денежный 2 3 2 7 2 2" xfId="5137" xr:uid="{03E3F6F0-BBA6-4054-8AF2-FDF310C0B26A}"/>
    <cellStyle name="Денежный 2 3 2 7 3" xfId="4279" xr:uid="{03E3F6F0-BBA6-4054-8AF2-FDF310C0B26A}"/>
    <cellStyle name="Денежный 2 3 2 8" xfId="1704" xr:uid="{03E3F6F0-BBA6-4054-8AF2-FDF310C0B26A}"/>
    <cellStyle name="Денежный 2 3 2 8 2" xfId="4699" xr:uid="{03E3F6F0-BBA6-4054-8AF2-FDF310C0B26A}"/>
    <cellStyle name="Денежный 2 3 2 9" xfId="2570" xr:uid="{03E3F6F0-BBA6-4054-8AF2-FDF310C0B26A}"/>
    <cellStyle name="Денежный 2 3 2 9 2" xfId="5564" xr:uid="{03E3F6F0-BBA6-4054-8AF2-FDF310C0B26A}"/>
    <cellStyle name="Денежный 2 3 3" xfId="499" xr:uid="{03E3F6F0-BBA6-4054-8AF2-FDF310C0B26A}"/>
    <cellStyle name="Денежный 2 3 3 2" xfId="839" xr:uid="{03E3F6F0-BBA6-4054-8AF2-FDF310C0B26A}"/>
    <cellStyle name="Денежный 2 3 3 2 2" xfId="1193" xr:uid="{03E3F6F0-BBA6-4054-8AF2-FDF310C0B26A}"/>
    <cellStyle name="Денежный 2 3 3 2 2 2" xfId="2073" xr:uid="{03E3F6F0-BBA6-4054-8AF2-FDF310C0B26A}"/>
    <cellStyle name="Денежный 2 3 3 2 2 2 2" xfId="5067" xr:uid="{03E3F6F0-BBA6-4054-8AF2-FDF310C0B26A}"/>
    <cellStyle name="Денежный 2 3 3 2 2 3" xfId="4188" xr:uid="{03E3F6F0-BBA6-4054-8AF2-FDF310C0B26A}"/>
    <cellStyle name="Денежный 2 3 3 2 3" xfId="1633" xr:uid="{03E3F6F0-BBA6-4054-8AF2-FDF310C0B26A}"/>
    <cellStyle name="Денежный 2 3 3 2 3 2" xfId="2333" xr:uid="{03E3F6F0-BBA6-4054-8AF2-FDF310C0B26A}"/>
    <cellStyle name="Денежный 2 3 3 2 3 2 2" xfId="5327" xr:uid="{03E3F6F0-BBA6-4054-8AF2-FDF310C0B26A}"/>
    <cellStyle name="Денежный 2 3 3 2 3 3" xfId="4628" xr:uid="{03E3F6F0-BBA6-4054-8AF2-FDF310C0B26A}"/>
    <cellStyle name="Денежный 2 3 3 2 4" xfId="1894" xr:uid="{03E3F6F0-BBA6-4054-8AF2-FDF310C0B26A}"/>
    <cellStyle name="Денежный 2 3 3 2 4 2" xfId="4889" xr:uid="{03E3F6F0-BBA6-4054-8AF2-FDF310C0B26A}"/>
    <cellStyle name="Денежный 2 3 3 2 5" xfId="3024" xr:uid="{03E3F6F0-BBA6-4054-8AF2-FDF310C0B26A}"/>
    <cellStyle name="Денежный 2 3 3 2 5 2" xfId="6018" xr:uid="{03E3F6F0-BBA6-4054-8AF2-FDF310C0B26A}"/>
    <cellStyle name="Денежный 2 3 3 2 6" xfId="3835" xr:uid="{03E3F6F0-BBA6-4054-8AF2-FDF310C0B26A}"/>
    <cellStyle name="Денежный 2 3 3 3" xfId="733" xr:uid="{03E3F6F0-BBA6-4054-8AF2-FDF310C0B26A}"/>
    <cellStyle name="Денежный 2 3 3 3 2" xfId="1528" xr:uid="{03E3F6F0-BBA6-4054-8AF2-FDF310C0B26A}"/>
    <cellStyle name="Денежный 2 3 3 3 2 2" xfId="2249" xr:uid="{03E3F6F0-BBA6-4054-8AF2-FDF310C0B26A}"/>
    <cellStyle name="Денежный 2 3 3 3 2 2 2" xfId="5243" xr:uid="{03E3F6F0-BBA6-4054-8AF2-FDF310C0B26A}"/>
    <cellStyle name="Денежный 2 3 3 3 2 3" xfId="4523" xr:uid="{03E3F6F0-BBA6-4054-8AF2-FDF310C0B26A}"/>
    <cellStyle name="Денежный 2 3 3 3 3" xfId="1810" xr:uid="{03E3F6F0-BBA6-4054-8AF2-FDF310C0B26A}"/>
    <cellStyle name="Денежный 2 3 3 3 3 2" xfId="4805" xr:uid="{03E3F6F0-BBA6-4054-8AF2-FDF310C0B26A}"/>
    <cellStyle name="Денежный 2 3 3 3 4" xfId="2919" xr:uid="{03E3F6F0-BBA6-4054-8AF2-FDF310C0B26A}"/>
    <cellStyle name="Денежный 2 3 3 3 4 2" xfId="5913" xr:uid="{03E3F6F0-BBA6-4054-8AF2-FDF310C0B26A}"/>
    <cellStyle name="Денежный 2 3 3 3 5" xfId="3730" xr:uid="{03E3F6F0-BBA6-4054-8AF2-FDF310C0B26A}"/>
    <cellStyle name="Денежный 2 3 3 4" xfId="914" xr:uid="{03E3F6F0-BBA6-4054-8AF2-FDF310C0B26A}"/>
    <cellStyle name="Денежный 2 3 3 4 2" xfId="1961" xr:uid="{03E3F6F0-BBA6-4054-8AF2-FDF310C0B26A}"/>
    <cellStyle name="Денежный 2 3 3 4 2 2" xfId="4955" xr:uid="{03E3F6F0-BBA6-4054-8AF2-FDF310C0B26A}"/>
    <cellStyle name="Денежный 2 3 3 4 3" xfId="2689" xr:uid="{03E3F6F0-BBA6-4054-8AF2-FDF310C0B26A}"/>
    <cellStyle name="Денежный 2 3 3 4 3 2" xfId="5683" xr:uid="{03E3F6F0-BBA6-4054-8AF2-FDF310C0B26A}"/>
    <cellStyle name="Денежный 2 3 3 4 4" xfId="3909" xr:uid="{03E3F6F0-BBA6-4054-8AF2-FDF310C0B26A}"/>
    <cellStyle name="Денежный 2 3 3 5" xfId="1298" xr:uid="{03E3F6F0-BBA6-4054-8AF2-FDF310C0B26A}"/>
    <cellStyle name="Денежный 2 3 3 5 2" xfId="2157" xr:uid="{03E3F6F0-BBA6-4054-8AF2-FDF310C0B26A}"/>
    <cellStyle name="Денежный 2 3 3 5 2 2" xfId="5151" xr:uid="{03E3F6F0-BBA6-4054-8AF2-FDF310C0B26A}"/>
    <cellStyle name="Денежный 2 3 3 5 3" xfId="4293" xr:uid="{03E3F6F0-BBA6-4054-8AF2-FDF310C0B26A}"/>
    <cellStyle name="Денежный 2 3 3 6" xfId="1718" xr:uid="{03E3F6F0-BBA6-4054-8AF2-FDF310C0B26A}"/>
    <cellStyle name="Денежный 2 3 3 6 2" xfId="4713" xr:uid="{03E3F6F0-BBA6-4054-8AF2-FDF310C0B26A}"/>
    <cellStyle name="Денежный 2 3 3 7" xfId="2584" xr:uid="{03E3F6F0-BBA6-4054-8AF2-FDF310C0B26A}"/>
    <cellStyle name="Денежный 2 3 3 7 2" xfId="5578" xr:uid="{03E3F6F0-BBA6-4054-8AF2-FDF310C0B26A}"/>
    <cellStyle name="Денежный 2 3 3 8" xfId="3500" xr:uid="{03E3F6F0-BBA6-4054-8AF2-FDF310C0B26A}"/>
    <cellStyle name="Денежный 2 3 4" xfId="529" xr:uid="{03E3F6F0-BBA6-4054-8AF2-FDF310C0B26A}"/>
    <cellStyle name="Денежный 2 3 4 2" xfId="867" xr:uid="{03E3F6F0-BBA6-4054-8AF2-FDF310C0B26A}"/>
    <cellStyle name="Денежный 2 3 4 2 2" xfId="1221" xr:uid="{03E3F6F0-BBA6-4054-8AF2-FDF310C0B26A}"/>
    <cellStyle name="Денежный 2 3 4 2 2 2" xfId="2101" xr:uid="{03E3F6F0-BBA6-4054-8AF2-FDF310C0B26A}"/>
    <cellStyle name="Денежный 2 3 4 2 2 2 2" xfId="5095" xr:uid="{03E3F6F0-BBA6-4054-8AF2-FDF310C0B26A}"/>
    <cellStyle name="Денежный 2 3 4 2 2 3" xfId="4216" xr:uid="{03E3F6F0-BBA6-4054-8AF2-FDF310C0B26A}"/>
    <cellStyle name="Денежный 2 3 4 2 3" xfId="1661" xr:uid="{03E3F6F0-BBA6-4054-8AF2-FDF310C0B26A}"/>
    <cellStyle name="Денежный 2 3 4 2 3 2" xfId="2361" xr:uid="{03E3F6F0-BBA6-4054-8AF2-FDF310C0B26A}"/>
    <cellStyle name="Денежный 2 3 4 2 3 2 2" xfId="5355" xr:uid="{03E3F6F0-BBA6-4054-8AF2-FDF310C0B26A}"/>
    <cellStyle name="Денежный 2 3 4 2 3 3" xfId="4656" xr:uid="{03E3F6F0-BBA6-4054-8AF2-FDF310C0B26A}"/>
    <cellStyle name="Денежный 2 3 4 2 4" xfId="1922" xr:uid="{03E3F6F0-BBA6-4054-8AF2-FDF310C0B26A}"/>
    <cellStyle name="Денежный 2 3 4 2 4 2" xfId="4917" xr:uid="{03E3F6F0-BBA6-4054-8AF2-FDF310C0B26A}"/>
    <cellStyle name="Денежный 2 3 4 2 5" xfId="3052" xr:uid="{03E3F6F0-BBA6-4054-8AF2-FDF310C0B26A}"/>
    <cellStyle name="Денежный 2 3 4 2 5 2" xfId="6046" xr:uid="{03E3F6F0-BBA6-4054-8AF2-FDF310C0B26A}"/>
    <cellStyle name="Денежный 2 3 4 2 6" xfId="3863" xr:uid="{03E3F6F0-BBA6-4054-8AF2-FDF310C0B26A}"/>
    <cellStyle name="Денежный 2 3 4 3" xfId="762" xr:uid="{03E3F6F0-BBA6-4054-8AF2-FDF310C0B26A}"/>
    <cellStyle name="Денежный 2 3 4 3 2" xfId="1556" xr:uid="{03E3F6F0-BBA6-4054-8AF2-FDF310C0B26A}"/>
    <cellStyle name="Денежный 2 3 4 3 2 2" xfId="2277" xr:uid="{03E3F6F0-BBA6-4054-8AF2-FDF310C0B26A}"/>
    <cellStyle name="Денежный 2 3 4 3 2 2 2" xfId="5271" xr:uid="{03E3F6F0-BBA6-4054-8AF2-FDF310C0B26A}"/>
    <cellStyle name="Денежный 2 3 4 3 2 3" xfId="4551" xr:uid="{03E3F6F0-BBA6-4054-8AF2-FDF310C0B26A}"/>
    <cellStyle name="Денежный 2 3 4 3 3" xfId="1838" xr:uid="{03E3F6F0-BBA6-4054-8AF2-FDF310C0B26A}"/>
    <cellStyle name="Денежный 2 3 4 3 3 2" xfId="4833" xr:uid="{03E3F6F0-BBA6-4054-8AF2-FDF310C0B26A}"/>
    <cellStyle name="Денежный 2 3 4 3 4" xfId="2947" xr:uid="{03E3F6F0-BBA6-4054-8AF2-FDF310C0B26A}"/>
    <cellStyle name="Денежный 2 3 4 3 4 2" xfId="5941" xr:uid="{03E3F6F0-BBA6-4054-8AF2-FDF310C0B26A}"/>
    <cellStyle name="Денежный 2 3 4 3 5" xfId="3758" xr:uid="{03E3F6F0-BBA6-4054-8AF2-FDF310C0B26A}"/>
    <cellStyle name="Денежный 2 3 4 4" xfId="972" xr:uid="{03E3F6F0-BBA6-4054-8AF2-FDF310C0B26A}"/>
    <cellStyle name="Денежный 2 3 4 4 2" xfId="2007" xr:uid="{03E3F6F0-BBA6-4054-8AF2-FDF310C0B26A}"/>
    <cellStyle name="Денежный 2 3 4 4 2 2" xfId="5001" xr:uid="{03E3F6F0-BBA6-4054-8AF2-FDF310C0B26A}"/>
    <cellStyle name="Денежный 2 3 4 4 3" xfId="2717" xr:uid="{03E3F6F0-BBA6-4054-8AF2-FDF310C0B26A}"/>
    <cellStyle name="Денежный 2 3 4 4 3 2" xfId="5711" xr:uid="{03E3F6F0-BBA6-4054-8AF2-FDF310C0B26A}"/>
    <cellStyle name="Денежный 2 3 4 4 4" xfId="3967" xr:uid="{03E3F6F0-BBA6-4054-8AF2-FDF310C0B26A}"/>
    <cellStyle name="Денежный 2 3 4 5" xfId="1326" xr:uid="{03E3F6F0-BBA6-4054-8AF2-FDF310C0B26A}"/>
    <cellStyle name="Денежный 2 3 4 5 2" xfId="2185" xr:uid="{03E3F6F0-BBA6-4054-8AF2-FDF310C0B26A}"/>
    <cellStyle name="Денежный 2 3 4 5 2 2" xfId="5179" xr:uid="{03E3F6F0-BBA6-4054-8AF2-FDF310C0B26A}"/>
    <cellStyle name="Денежный 2 3 4 5 3" xfId="4321" xr:uid="{03E3F6F0-BBA6-4054-8AF2-FDF310C0B26A}"/>
    <cellStyle name="Денежный 2 3 4 6" xfId="1746" xr:uid="{03E3F6F0-BBA6-4054-8AF2-FDF310C0B26A}"/>
    <cellStyle name="Денежный 2 3 4 6 2" xfId="4741" xr:uid="{03E3F6F0-BBA6-4054-8AF2-FDF310C0B26A}"/>
    <cellStyle name="Денежный 2 3 4 7" xfId="2612" xr:uid="{03E3F6F0-BBA6-4054-8AF2-FDF310C0B26A}"/>
    <cellStyle name="Денежный 2 3 4 7 2" xfId="5606" xr:uid="{03E3F6F0-BBA6-4054-8AF2-FDF310C0B26A}"/>
    <cellStyle name="Денежный 2 3 4 8" xfId="3528" xr:uid="{03E3F6F0-BBA6-4054-8AF2-FDF310C0B26A}"/>
    <cellStyle name="Денежный 2 3 5" xfId="811" xr:uid="{03E3F6F0-BBA6-4054-8AF2-FDF310C0B26A}"/>
    <cellStyle name="Денежный 2 3 5 2" xfId="1165" xr:uid="{03E3F6F0-BBA6-4054-8AF2-FDF310C0B26A}"/>
    <cellStyle name="Денежный 2 3 5 2 2" xfId="2045" xr:uid="{03E3F6F0-BBA6-4054-8AF2-FDF310C0B26A}"/>
    <cellStyle name="Денежный 2 3 5 2 2 2" xfId="5039" xr:uid="{03E3F6F0-BBA6-4054-8AF2-FDF310C0B26A}"/>
    <cellStyle name="Денежный 2 3 5 2 3" xfId="4160" xr:uid="{03E3F6F0-BBA6-4054-8AF2-FDF310C0B26A}"/>
    <cellStyle name="Денежный 2 3 5 3" xfId="1605" xr:uid="{03E3F6F0-BBA6-4054-8AF2-FDF310C0B26A}"/>
    <cellStyle name="Денежный 2 3 5 3 2" xfId="2305" xr:uid="{03E3F6F0-BBA6-4054-8AF2-FDF310C0B26A}"/>
    <cellStyle name="Денежный 2 3 5 3 2 2" xfId="5299" xr:uid="{03E3F6F0-BBA6-4054-8AF2-FDF310C0B26A}"/>
    <cellStyle name="Денежный 2 3 5 3 3" xfId="4600" xr:uid="{03E3F6F0-BBA6-4054-8AF2-FDF310C0B26A}"/>
    <cellStyle name="Денежный 2 3 5 4" xfId="1866" xr:uid="{03E3F6F0-BBA6-4054-8AF2-FDF310C0B26A}"/>
    <cellStyle name="Денежный 2 3 5 4 2" xfId="4861" xr:uid="{03E3F6F0-BBA6-4054-8AF2-FDF310C0B26A}"/>
    <cellStyle name="Денежный 2 3 5 5" xfId="2996" xr:uid="{03E3F6F0-BBA6-4054-8AF2-FDF310C0B26A}"/>
    <cellStyle name="Денежный 2 3 5 5 2" xfId="5990" xr:uid="{03E3F6F0-BBA6-4054-8AF2-FDF310C0B26A}"/>
    <cellStyle name="Денежный 2 3 5 6" xfId="3807" xr:uid="{03E3F6F0-BBA6-4054-8AF2-FDF310C0B26A}"/>
    <cellStyle name="Денежный 2 3 6" xfId="705" xr:uid="{03E3F6F0-BBA6-4054-8AF2-FDF310C0B26A}"/>
    <cellStyle name="Денежный 2 3 6 2" xfId="1500" xr:uid="{03E3F6F0-BBA6-4054-8AF2-FDF310C0B26A}"/>
    <cellStyle name="Денежный 2 3 6 2 2" xfId="2221" xr:uid="{03E3F6F0-BBA6-4054-8AF2-FDF310C0B26A}"/>
    <cellStyle name="Денежный 2 3 6 2 2 2" xfId="5215" xr:uid="{03E3F6F0-BBA6-4054-8AF2-FDF310C0B26A}"/>
    <cellStyle name="Денежный 2 3 6 2 3" xfId="4495" xr:uid="{03E3F6F0-BBA6-4054-8AF2-FDF310C0B26A}"/>
    <cellStyle name="Денежный 2 3 6 3" xfId="1782" xr:uid="{03E3F6F0-BBA6-4054-8AF2-FDF310C0B26A}"/>
    <cellStyle name="Денежный 2 3 6 3 2" xfId="4777" xr:uid="{03E3F6F0-BBA6-4054-8AF2-FDF310C0B26A}"/>
    <cellStyle name="Денежный 2 3 6 4" xfId="2891" xr:uid="{03E3F6F0-BBA6-4054-8AF2-FDF310C0B26A}"/>
    <cellStyle name="Денежный 2 3 6 4 2" xfId="5885" xr:uid="{03E3F6F0-BBA6-4054-8AF2-FDF310C0B26A}"/>
    <cellStyle name="Денежный 2 3 6 5" xfId="3702" xr:uid="{03E3F6F0-BBA6-4054-8AF2-FDF310C0B26A}"/>
    <cellStyle name="Денежный 2 3 7" xfId="928" xr:uid="{03E3F6F0-BBA6-4054-8AF2-FDF310C0B26A}"/>
    <cellStyle name="Денежный 2 3 7 2" xfId="1974" xr:uid="{03E3F6F0-BBA6-4054-8AF2-FDF310C0B26A}"/>
    <cellStyle name="Денежный 2 3 7 2 2" xfId="4968" xr:uid="{03E3F6F0-BBA6-4054-8AF2-FDF310C0B26A}"/>
    <cellStyle name="Денежный 2 3 7 3" xfId="2661" xr:uid="{03E3F6F0-BBA6-4054-8AF2-FDF310C0B26A}"/>
    <cellStyle name="Денежный 2 3 7 3 2" xfId="5655" xr:uid="{03E3F6F0-BBA6-4054-8AF2-FDF310C0B26A}"/>
    <cellStyle name="Денежный 2 3 7 4" xfId="3923" xr:uid="{03E3F6F0-BBA6-4054-8AF2-FDF310C0B26A}"/>
    <cellStyle name="Денежный 2 3 8" xfId="1270" xr:uid="{03E3F6F0-BBA6-4054-8AF2-FDF310C0B26A}"/>
    <cellStyle name="Денежный 2 3 8 2" xfId="2129" xr:uid="{03E3F6F0-BBA6-4054-8AF2-FDF310C0B26A}"/>
    <cellStyle name="Денежный 2 3 8 2 2" xfId="5123" xr:uid="{03E3F6F0-BBA6-4054-8AF2-FDF310C0B26A}"/>
    <cellStyle name="Денежный 2 3 8 3" xfId="4265" xr:uid="{03E3F6F0-BBA6-4054-8AF2-FDF310C0B26A}"/>
    <cellStyle name="Денежный 2 3 9" xfId="1690" xr:uid="{03E3F6F0-BBA6-4054-8AF2-FDF310C0B26A}"/>
    <cellStyle name="Денежный 2 3 9 2" xfId="4685" xr:uid="{03E3F6F0-BBA6-4054-8AF2-FDF310C0B26A}"/>
    <cellStyle name="Денежный 2 4" xfId="478" xr:uid="{03E3F6F0-BBA6-4054-8AF2-FDF310C0B26A}"/>
    <cellStyle name="Денежный 2 4 10" xfId="3479" xr:uid="{03E3F6F0-BBA6-4054-8AF2-FDF310C0B26A}"/>
    <cellStyle name="Денежный 2 4 2" xfId="508" xr:uid="{03E3F6F0-BBA6-4054-8AF2-FDF310C0B26A}"/>
    <cellStyle name="Денежный 2 4 2 2" xfId="846" xr:uid="{03E3F6F0-BBA6-4054-8AF2-FDF310C0B26A}"/>
    <cellStyle name="Денежный 2 4 2 2 2" xfId="1200" xr:uid="{03E3F6F0-BBA6-4054-8AF2-FDF310C0B26A}"/>
    <cellStyle name="Денежный 2 4 2 2 2 2" xfId="2080" xr:uid="{03E3F6F0-BBA6-4054-8AF2-FDF310C0B26A}"/>
    <cellStyle name="Денежный 2 4 2 2 2 2 2" xfId="5074" xr:uid="{03E3F6F0-BBA6-4054-8AF2-FDF310C0B26A}"/>
    <cellStyle name="Денежный 2 4 2 2 2 3" xfId="4195" xr:uid="{03E3F6F0-BBA6-4054-8AF2-FDF310C0B26A}"/>
    <cellStyle name="Денежный 2 4 2 2 3" xfId="1640" xr:uid="{03E3F6F0-BBA6-4054-8AF2-FDF310C0B26A}"/>
    <cellStyle name="Денежный 2 4 2 2 3 2" xfId="2340" xr:uid="{03E3F6F0-BBA6-4054-8AF2-FDF310C0B26A}"/>
    <cellStyle name="Денежный 2 4 2 2 3 2 2" xfId="5334" xr:uid="{03E3F6F0-BBA6-4054-8AF2-FDF310C0B26A}"/>
    <cellStyle name="Денежный 2 4 2 2 3 3" xfId="4635" xr:uid="{03E3F6F0-BBA6-4054-8AF2-FDF310C0B26A}"/>
    <cellStyle name="Денежный 2 4 2 2 4" xfId="1901" xr:uid="{03E3F6F0-BBA6-4054-8AF2-FDF310C0B26A}"/>
    <cellStyle name="Денежный 2 4 2 2 4 2" xfId="4896" xr:uid="{03E3F6F0-BBA6-4054-8AF2-FDF310C0B26A}"/>
    <cellStyle name="Денежный 2 4 2 2 5" xfId="3031" xr:uid="{03E3F6F0-BBA6-4054-8AF2-FDF310C0B26A}"/>
    <cellStyle name="Денежный 2 4 2 2 5 2" xfId="6025" xr:uid="{03E3F6F0-BBA6-4054-8AF2-FDF310C0B26A}"/>
    <cellStyle name="Денежный 2 4 2 2 6" xfId="3842" xr:uid="{03E3F6F0-BBA6-4054-8AF2-FDF310C0B26A}"/>
    <cellStyle name="Денежный 2 4 2 3" xfId="741" xr:uid="{03E3F6F0-BBA6-4054-8AF2-FDF310C0B26A}"/>
    <cellStyle name="Денежный 2 4 2 3 2" xfId="1535" xr:uid="{03E3F6F0-BBA6-4054-8AF2-FDF310C0B26A}"/>
    <cellStyle name="Денежный 2 4 2 3 2 2" xfId="2256" xr:uid="{03E3F6F0-BBA6-4054-8AF2-FDF310C0B26A}"/>
    <cellStyle name="Денежный 2 4 2 3 2 2 2" xfId="5250" xr:uid="{03E3F6F0-BBA6-4054-8AF2-FDF310C0B26A}"/>
    <cellStyle name="Денежный 2 4 2 3 2 3" xfId="4530" xr:uid="{03E3F6F0-BBA6-4054-8AF2-FDF310C0B26A}"/>
    <cellStyle name="Денежный 2 4 2 3 3" xfId="1817" xr:uid="{03E3F6F0-BBA6-4054-8AF2-FDF310C0B26A}"/>
    <cellStyle name="Денежный 2 4 2 3 3 2" xfId="4812" xr:uid="{03E3F6F0-BBA6-4054-8AF2-FDF310C0B26A}"/>
    <cellStyle name="Денежный 2 4 2 3 4" xfId="2926" xr:uid="{03E3F6F0-BBA6-4054-8AF2-FDF310C0B26A}"/>
    <cellStyle name="Денежный 2 4 2 3 4 2" xfId="5920" xr:uid="{03E3F6F0-BBA6-4054-8AF2-FDF310C0B26A}"/>
    <cellStyle name="Денежный 2 4 2 3 5" xfId="3737" xr:uid="{03E3F6F0-BBA6-4054-8AF2-FDF310C0B26A}"/>
    <cellStyle name="Денежный 2 4 2 4" xfId="892" xr:uid="{03E3F6F0-BBA6-4054-8AF2-FDF310C0B26A}"/>
    <cellStyle name="Денежный 2 4 2 4 2" xfId="1945" xr:uid="{03E3F6F0-BBA6-4054-8AF2-FDF310C0B26A}"/>
    <cellStyle name="Денежный 2 4 2 4 2 2" xfId="4940" xr:uid="{03E3F6F0-BBA6-4054-8AF2-FDF310C0B26A}"/>
    <cellStyle name="Денежный 2 4 2 4 3" xfId="2696" xr:uid="{03E3F6F0-BBA6-4054-8AF2-FDF310C0B26A}"/>
    <cellStyle name="Денежный 2 4 2 4 3 2" xfId="5690" xr:uid="{03E3F6F0-BBA6-4054-8AF2-FDF310C0B26A}"/>
    <cellStyle name="Денежный 2 4 2 4 4" xfId="3888" xr:uid="{03E3F6F0-BBA6-4054-8AF2-FDF310C0B26A}"/>
    <cellStyle name="Денежный 2 4 2 5" xfId="1305" xr:uid="{03E3F6F0-BBA6-4054-8AF2-FDF310C0B26A}"/>
    <cellStyle name="Денежный 2 4 2 5 2" xfId="2164" xr:uid="{03E3F6F0-BBA6-4054-8AF2-FDF310C0B26A}"/>
    <cellStyle name="Денежный 2 4 2 5 2 2" xfId="5158" xr:uid="{03E3F6F0-BBA6-4054-8AF2-FDF310C0B26A}"/>
    <cellStyle name="Денежный 2 4 2 5 3" xfId="4300" xr:uid="{03E3F6F0-BBA6-4054-8AF2-FDF310C0B26A}"/>
    <cellStyle name="Денежный 2 4 2 6" xfId="1725" xr:uid="{03E3F6F0-BBA6-4054-8AF2-FDF310C0B26A}"/>
    <cellStyle name="Денежный 2 4 2 6 2" xfId="4720" xr:uid="{03E3F6F0-BBA6-4054-8AF2-FDF310C0B26A}"/>
    <cellStyle name="Денежный 2 4 2 7" xfId="2591" xr:uid="{03E3F6F0-BBA6-4054-8AF2-FDF310C0B26A}"/>
    <cellStyle name="Денежный 2 4 2 7 2" xfId="5585" xr:uid="{03E3F6F0-BBA6-4054-8AF2-FDF310C0B26A}"/>
    <cellStyle name="Денежный 2 4 2 8" xfId="3507" xr:uid="{03E3F6F0-BBA6-4054-8AF2-FDF310C0B26A}"/>
    <cellStyle name="Денежный 2 4 3" xfId="536" xr:uid="{03E3F6F0-BBA6-4054-8AF2-FDF310C0B26A}"/>
    <cellStyle name="Денежный 2 4 3 2" xfId="874" xr:uid="{03E3F6F0-BBA6-4054-8AF2-FDF310C0B26A}"/>
    <cellStyle name="Денежный 2 4 3 2 2" xfId="1228" xr:uid="{03E3F6F0-BBA6-4054-8AF2-FDF310C0B26A}"/>
    <cellStyle name="Денежный 2 4 3 2 2 2" xfId="2108" xr:uid="{03E3F6F0-BBA6-4054-8AF2-FDF310C0B26A}"/>
    <cellStyle name="Денежный 2 4 3 2 2 2 2" xfId="5102" xr:uid="{03E3F6F0-BBA6-4054-8AF2-FDF310C0B26A}"/>
    <cellStyle name="Денежный 2 4 3 2 2 3" xfId="4223" xr:uid="{03E3F6F0-BBA6-4054-8AF2-FDF310C0B26A}"/>
    <cellStyle name="Денежный 2 4 3 2 3" xfId="1668" xr:uid="{03E3F6F0-BBA6-4054-8AF2-FDF310C0B26A}"/>
    <cellStyle name="Денежный 2 4 3 2 3 2" xfId="2368" xr:uid="{03E3F6F0-BBA6-4054-8AF2-FDF310C0B26A}"/>
    <cellStyle name="Денежный 2 4 3 2 3 2 2" xfId="5362" xr:uid="{03E3F6F0-BBA6-4054-8AF2-FDF310C0B26A}"/>
    <cellStyle name="Денежный 2 4 3 2 3 3" xfId="4663" xr:uid="{03E3F6F0-BBA6-4054-8AF2-FDF310C0B26A}"/>
    <cellStyle name="Денежный 2 4 3 2 4" xfId="1929" xr:uid="{03E3F6F0-BBA6-4054-8AF2-FDF310C0B26A}"/>
    <cellStyle name="Денежный 2 4 3 2 4 2" xfId="4924" xr:uid="{03E3F6F0-BBA6-4054-8AF2-FDF310C0B26A}"/>
    <cellStyle name="Денежный 2 4 3 2 5" xfId="3059" xr:uid="{03E3F6F0-BBA6-4054-8AF2-FDF310C0B26A}"/>
    <cellStyle name="Денежный 2 4 3 2 5 2" xfId="6053" xr:uid="{03E3F6F0-BBA6-4054-8AF2-FDF310C0B26A}"/>
    <cellStyle name="Денежный 2 4 3 2 6" xfId="3870" xr:uid="{03E3F6F0-BBA6-4054-8AF2-FDF310C0B26A}"/>
    <cellStyle name="Денежный 2 4 3 3" xfId="769" xr:uid="{03E3F6F0-BBA6-4054-8AF2-FDF310C0B26A}"/>
    <cellStyle name="Денежный 2 4 3 3 2" xfId="1563" xr:uid="{03E3F6F0-BBA6-4054-8AF2-FDF310C0B26A}"/>
    <cellStyle name="Денежный 2 4 3 3 2 2" xfId="2284" xr:uid="{03E3F6F0-BBA6-4054-8AF2-FDF310C0B26A}"/>
    <cellStyle name="Денежный 2 4 3 3 2 2 2" xfId="5278" xr:uid="{03E3F6F0-BBA6-4054-8AF2-FDF310C0B26A}"/>
    <cellStyle name="Денежный 2 4 3 3 2 3" xfId="4558" xr:uid="{03E3F6F0-BBA6-4054-8AF2-FDF310C0B26A}"/>
    <cellStyle name="Денежный 2 4 3 3 3" xfId="1845" xr:uid="{03E3F6F0-BBA6-4054-8AF2-FDF310C0B26A}"/>
    <cellStyle name="Денежный 2 4 3 3 3 2" xfId="4840" xr:uid="{03E3F6F0-BBA6-4054-8AF2-FDF310C0B26A}"/>
    <cellStyle name="Денежный 2 4 3 3 4" xfId="2954" xr:uid="{03E3F6F0-BBA6-4054-8AF2-FDF310C0B26A}"/>
    <cellStyle name="Денежный 2 4 3 3 4 2" xfId="5948" xr:uid="{03E3F6F0-BBA6-4054-8AF2-FDF310C0B26A}"/>
    <cellStyle name="Денежный 2 4 3 3 5" xfId="3765" xr:uid="{03E3F6F0-BBA6-4054-8AF2-FDF310C0B26A}"/>
    <cellStyle name="Денежный 2 4 3 4" xfId="979" xr:uid="{03E3F6F0-BBA6-4054-8AF2-FDF310C0B26A}"/>
    <cellStyle name="Денежный 2 4 3 4 2" xfId="2014" xr:uid="{03E3F6F0-BBA6-4054-8AF2-FDF310C0B26A}"/>
    <cellStyle name="Денежный 2 4 3 4 2 2" xfId="5008" xr:uid="{03E3F6F0-BBA6-4054-8AF2-FDF310C0B26A}"/>
    <cellStyle name="Денежный 2 4 3 4 3" xfId="2724" xr:uid="{03E3F6F0-BBA6-4054-8AF2-FDF310C0B26A}"/>
    <cellStyle name="Денежный 2 4 3 4 3 2" xfId="5718" xr:uid="{03E3F6F0-BBA6-4054-8AF2-FDF310C0B26A}"/>
    <cellStyle name="Денежный 2 4 3 4 4" xfId="3974" xr:uid="{03E3F6F0-BBA6-4054-8AF2-FDF310C0B26A}"/>
    <cellStyle name="Денежный 2 4 3 5" xfId="1333" xr:uid="{03E3F6F0-BBA6-4054-8AF2-FDF310C0B26A}"/>
    <cellStyle name="Денежный 2 4 3 5 2" xfId="2192" xr:uid="{03E3F6F0-BBA6-4054-8AF2-FDF310C0B26A}"/>
    <cellStyle name="Денежный 2 4 3 5 2 2" xfId="5186" xr:uid="{03E3F6F0-BBA6-4054-8AF2-FDF310C0B26A}"/>
    <cellStyle name="Денежный 2 4 3 5 3" xfId="4328" xr:uid="{03E3F6F0-BBA6-4054-8AF2-FDF310C0B26A}"/>
    <cellStyle name="Денежный 2 4 3 6" xfId="1753" xr:uid="{03E3F6F0-BBA6-4054-8AF2-FDF310C0B26A}"/>
    <cellStyle name="Денежный 2 4 3 6 2" xfId="4748" xr:uid="{03E3F6F0-BBA6-4054-8AF2-FDF310C0B26A}"/>
    <cellStyle name="Денежный 2 4 3 7" xfId="2619" xr:uid="{03E3F6F0-BBA6-4054-8AF2-FDF310C0B26A}"/>
    <cellStyle name="Денежный 2 4 3 7 2" xfId="5613" xr:uid="{03E3F6F0-BBA6-4054-8AF2-FDF310C0B26A}"/>
    <cellStyle name="Денежный 2 4 3 8" xfId="3535" xr:uid="{03E3F6F0-BBA6-4054-8AF2-FDF310C0B26A}"/>
    <cellStyle name="Денежный 2 4 4" xfId="818" xr:uid="{03E3F6F0-BBA6-4054-8AF2-FDF310C0B26A}"/>
    <cellStyle name="Денежный 2 4 4 2" xfId="1172" xr:uid="{03E3F6F0-BBA6-4054-8AF2-FDF310C0B26A}"/>
    <cellStyle name="Денежный 2 4 4 2 2" xfId="2052" xr:uid="{03E3F6F0-BBA6-4054-8AF2-FDF310C0B26A}"/>
    <cellStyle name="Денежный 2 4 4 2 2 2" xfId="5046" xr:uid="{03E3F6F0-BBA6-4054-8AF2-FDF310C0B26A}"/>
    <cellStyle name="Денежный 2 4 4 2 3" xfId="4167" xr:uid="{03E3F6F0-BBA6-4054-8AF2-FDF310C0B26A}"/>
    <cellStyle name="Денежный 2 4 4 3" xfId="1612" xr:uid="{03E3F6F0-BBA6-4054-8AF2-FDF310C0B26A}"/>
    <cellStyle name="Денежный 2 4 4 3 2" xfId="2312" xr:uid="{03E3F6F0-BBA6-4054-8AF2-FDF310C0B26A}"/>
    <cellStyle name="Денежный 2 4 4 3 2 2" xfId="5306" xr:uid="{03E3F6F0-BBA6-4054-8AF2-FDF310C0B26A}"/>
    <cellStyle name="Денежный 2 4 4 3 3" xfId="4607" xr:uid="{03E3F6F0-BBA6-4054-8AF2-FDF310C0B26A}"/>
    <cellStyle name="Денежный 2 4 4 4" xfId="1873" xr:uid="{03E3F6F0-BBA6-4054-8AF2-FDF310C0B26A}"/>
    <cellStyle name="Денежный 2 4 4 4 2" xfId="4868" xr:uid="{03E3F6F0-BBA6-4054-8AF2-FDF310C0B26A}"/>
    <cellStyle name="Денежный 2 4 4 5" xfId="3003" xr:uid="{03E3F6F0-BBA6-4054-8AF2-FDF310C0B26A}"/>
    <cellStyle name="Денежный 2 4 4 5 2" xfId="5997" xr:uid="{03E3F6F0-BBA6-4054-8AF2-FDF310C0B26A}"/>
    <cellStyle name="Денежный 2 4 4 6" xfId="3814" xr:uid="{03E3F6F0-BBA6-4054-8AF2-FDF310C0B26A}"/>
    <cellStyle name="Денежный 2 4 5" xfId="712" xr:uid="{03E3F6F0-BBA6-4054-8AF2-FDF310C0B26A}"/>
    <cellStyle name="Денежный 2 4 5 2" xfId="1507" xr:uid="{03E3F6F0-BBA6-4054-8AF2-FDF310C0B26A}"/>
    <cellStyle name="Денежный 2 4 5 2 2" xfId="2228" xr:uid="{03E3F6F0-BBA6-4054-8AF2-FDF310C0B26A}"/>
    <cellStyle name="Денежный 2 4 5 2 2 2" xfId="5222" xr:uid="{03E3F6F0-BBA6-4054-8AF2-FDF310C0B26A}"/>
    <cellStyle name="Денежный 2 4 5 2 3" xfId="4502" xr:uid="{03E3F6F0-BBA6-4054-8AF2-FDF310C0B26A}"/>
    <cellStyle name="Денежный 2 4 5 3" xfId="1789" xr:uid="{03E3F6F0-BBA6-4054-8AF2-FDF310C0B26A}"/>
    <cellStyle name="Денежный 2 4 5 3 2" xfId="4784" xr:uid="{03E3F6F0-BBA6-4054-8AF2-FDF310C0B26A}"/>
    <cellStyle name="Денежный 2 4 5 4" xfId="2898" xr:uid="{03E3F6F0-BBA6-4054-8AF2-FDF310C0B26A}"/>
    <cellStyle name="Денежный 2 4 5 4 2" xfId="5892" xr:uid="{03E3F6F0-BBA6-4054-8AF2-FDF310C0B26A}"/>
    <cellStyle name="Денежный 2 4 5 5" xfId="3709" xr:uid="{03E3F6F0-BBA6-4054-8AF2-FDF310C0B26A}"/>
    <cellStyle name="Денежный 2 4 6" xfId="920" xr:uid="{03E3F6F0-BBA6-4054-8AF2-FDF310C0B26A}"/>
    <cellStyle name="Денежный 2 4 6 2" xfId="1967" xr:uid="{03E3F6F0-BBA6-4054-8AF2-FDF310C0B26A}"/>
    <cellStyle name="Денежный 2 4 6 2 2" xfId="4961" xr:uid="{03E3F6F0-BBA6-4054-8AF2-FDF310C0B26A}"/>
    <cellStyle name="Денежный 2 4 6 3" xfId="2668" xr:uid="{03E3F6F0-BBA6-4054-8AF2-FDF310C0B26A}"/>
    <cellStyle name="Денежный 2 4 6 3 2" xfId="5662" xr:uid="{03E3F6F0-BBA6-4054-8AF2-FDF310C0B26A}"/>
    <cellStyle name="Денежный 2 4 6 4" xfId="3915" xr:uid="{03E3F6F0-BBA6-4054-8AF2-FDF310C0B26A}"/>
    <cellStyle name="Денежный 2 4 7" xfId="1277" xr:uid="{03E3F6F0-BBA6-4054-8AF2-FDF310C0B26A}"/>
    <cellStyle name="Денежный 2 4 7 2" xfId="2136" xr:uid="{03E3F6F0-BBA6-4054-8AF2-FDF310C0B26A}"/>
    <cellStyle name="Денежный 2 4 7 2 2" xfId="5130" xr:uid="{03E3F6F0-BBA6-4054-8AF2-FDF310C0B26A}"/>
    <cellStyle name="Денежный 2 4 7 3" xfId="4272" xr:uid="{03E3F6F0-BBA6-4054-8AF2-FDF310C0B26A}"/>
    <cellStyle name="Денежный 2 4 8" xfId="1697" xr:uid="{03E3F6F0-BBA6-4054-8AF2-FDF310C0B26A}"/>
    <cellStyle name="Денежный 2 4 8 2" xfId="4692" xr:uid="{03E3F6F0-BBA6-4054-8AF2-FDF310C0B26A}"/>
    <cellStyle name="Денежный 2 4 9" xfId="2563" xr:uid="{03E3F6F0-BBA6-4054-8AF2-FDF310C0B26A}"/>
    <cellStyle name="Денежный 2 4 9 2" xfId="5557" xr:uid="{03E3F6F0-BBA6-4054-8AF2-FDF310C0B26A}"/>
    <cellStyle name="Денежный 2 5" xfId="492" xr:uid="{03E3F6F0-BBA6-4054-8AF2-FDF310C0B26A}"/>
    <cellStyle name="Денежный 2 5 2" xfId="832" xr:uid="{03E3F6F0-BBA6-4054-8AF2-FDF310C0B26A}"/>
    <cellStyle name="Денежный 2 5 2 2" xfId="1186" xr:uid="{03E3F6F0-BBA6-4054-8AF2-FDF310C0B26A}"/>
    <cellStyle name="Денежный 2 5 2 2 2" xfId="2066" xr:uid="{03E3F6F0-BBA6-4054-8AF2-FDF310C0B26A}"/>
    <cellStyle name="Денежный 2 5 2 2 2 2" xfId="5060" xr:uid="{03E3F6F0-BBA6-4054-8AF2-FDF310C0B26A}"/>
    <cellStyle name="Денежный 2 5 2 2 3" xfId="4181" xr:uid="{03E3F6F0-BBA6-4054-8AF2-FDF310C0B26A}"/>
    <cellStyle name="Денежный 2 5 2 3" xfId="1626" xr:uid="{03E3F6F0-BBA6-4054-8AF2-FDF310C0B26A}"/>
    <cellStyle name="Денежный 2 5 2 3 2" xfId="2326" xr:uid="{03E3F6F0-BBA6-4054-8AF2-FDF310C0B26A}"/>
    <cellStyle name="Денежный 2 5 2 3 2 2" xfId="5320" xr:uid="{03E3F6F0-BBA6-4054-8AF2-FDF310C0B26A}"/>
    <cellStyle name="Денежный 2 5 2 3 3" xfId="4621" xr:uid="{03E3F6F0-BBA6-4054-8AF2-FDF310C0B26A}"/>
    <cellStyle name="Денежный 2 5 2 4" xfId="1887" xr:uid="{03E3F6F0-BBA6-4054-8AF2-FDF310C0B26A}"/>
    <cellStyle name="Денежный 2 5 2 4 2" xfId="4882" xr:uid="{03E3F6F0-BBA6-4054-8AF2-FDF310C0B26A}"/>
    <cellStyle name="Денежный 2 5 2 5" xfId="3017" xr:uid="{03E3F6F0-BBA6-4054-8AF2-FDF310C0B26A}"/>
    <cellStyle name="Денежный 2 5 2 5 2" xfId="6011" xr:uid="{03E3F6F0-BBA6-4054-8AF2-FDF310C0B26A}"/>
    <cellStyle name="Денежный 2 5 2 6" xfId="3828" xr:uid="{03E3F6F0-BBA6-4054-8AF2-FDF310C0B26A}"/>
    <cellStyle name="Денежный 2 5 3" xfId="726" xr:uid="{03E3F6F0-BBA6-4054-8AF2-FDF310C0B26A}"/>
    <cellStyle name="Денежный 2 5 3 2" xfId="1521" xr:uid="{03E3F6F0-BBA6-4054-8AF2-FDF310C0B26A}"/>
    <cellStyle name="Денежный 2 5 3 2 2" xfId="2242" xr:uid="{03E3F6F0-BBA6-4054-8AF2-FDF310C0B26A}"/>
    <cellStyle name="Денежный 2 5 3 2 2 2" xfId="5236" xr:uid="{03E3F6F0-BBA6-4054-8AF2-FDF310C0B26A}"/>
    <cellStyle name="Денежный 2 5 3 2 3" xfId="4516" xr:uid="{03E3F6F0-BBA6-4054-8AF2-FDF310C0B26A}"/>
    <cellStyle name="Денежный 2 5 3 3" xfId="1803" xr:uid="{03E3F6F0-BBA6-4054-8AF2-FDF310C0B26A}"/>
    <cellStyle name="Денежный 2 5 3 3 2" xfId="4798" xr:uid="{03E3F6F0-BBA6-4054-8AF2-FDF310C0B26A}"/>
    <cellStyle name="Денежный 2 5 3 4" xfId="2912" xr:uid="{03E3F6F0-BBA6-4054-8AF2-FDF310C0B26A}"/>
    <cellStyle name="Денежный 2 5 3 4 2" xfId="5906" xr:uid="{03E3F6F0-BBA6-4054-8AF2-FDF310C0B26A}"/>
    <cellStyle name="Денежный 2 5 3 5" xfId="3723" xr:uid="{03E3F6F0-BBA6-4054-8AF2-FDF310C0B26A}"/>
    <cellStyle name="Денежный 2 5 4" xfId="941" xr:uid="{03E3F6F0-BBA6-4054-8AF2-FDF310C0B26A}"/>
    <cellStyle name="Денежный 2 5 4 2" xfId="1984" xr:uid="{03E3F6F0-BBA6-4054-8AF2-FDF310C0B26A}"/>
    <cellStyle name="Денежный 2 5 4 2 2" xfId="4978" xr:uid="{03E3F6F0-BBA6-4054-8AF2-FDF310C0B26A}"/>
    <cellStyle name="Денежный 2 5 4 3" xfId="2682" xr:uid="{03E3F6F0-BBA6-4054-8AF2-FDF310C0B26A}"/>
    <cellStyle name="Денежный 2 5 4 3 2" xfId="5676" xr:uid="{03E3F6F0-BBA6-4054-8AF2-FDF310C0B26A}"/>
    <cellStyle name="Денежный 2 5 4 4" xfId="3936" xr:uid="{03E3F6F0-BBA6-4054-8AF2-FDF310C0B26A}"/>
    <cellStyle name="Денежный 2 5 5" xfId="1291" xr:uid="{03E3F6F0-BBA6-4054-8AF2-FDF310C0B26A}"/>
    <cellStyle name="Денежный 2 5 5 2" xfId="2150" xr:uid="{03E3F6F0-BBA6-4054-8AF2-FDF310C0B26A}"/>
    <cellStyle name="Денежный 2 5 5 2 2" xfId="5144" xr:uid="{03E3F6F0-BBA6-4054-8AF2-FDF310C0B26A}"/>
    <cellStyle name="Денежный 2 5 5 3" xfId="4286" xr:uid="{03E3F6F0-BBA6-4054-8AF2-FDF310C0B26A}"/>
    <cellStyle name="Денежный 2 5 6" xfId="1711" xr:uid="{03E3F6F0-BBA6-4054-8AF2-FDF310C0B26A}"/>
    <cellStyle name="Денежный 2 5 6 2" xfId="4706" xr:uid="{03E3F6F0-BBA6-4054-8AF2-FDF310C0B26A}"/>
    <cellStyle name="Денежный 2 5 7" xfId="2577" xr:uid="{03E3F6F0-BBA6-4054-8AF2-FDF310C0B26A}"/>
    <cellStyle name="Денежный 2 5 7 2" xfId="5571" xr:uid="{03E3F6F0-BBA6-4054-8AF2-FDF310C0B26A}"/>
    <cellStyle name="Денежный 2 5 8" xfId="3493" xr:uid="{03E3F6F0-BBA6-4054-8AF2-FDF310C0B26A}"/>
    <cellStyle name="Денежный 2 6" xfId="522" xr:uid="{03E3F6F0-BBA6-4054-8AF2-FDF310C0B26A}"/>
    <cellStyle name="Денежный 2 6 2" xfId="860" xr:uid="{03E3F6F0-BBA6-4054-8AF2-FDF310C0B26A}"/>
    <cellStyle name="Денежный 2 6 2 2" xfId="1214" xr:uid="{03E3F6F0-BBA6-4054-8AF2-FDF310C0B26A}"/>
    <cellStyle name="Денежный 2 6 2 2 2" xfId="2094" xr:uid="{03E3F6F0-BBA6-4054-8AF2-FDF310C0B26A}"/>
    <cellStyle name="Денежный 2 6 2 2 2 2" xfId="5088" xr:uid="{03E3F6F0-BBA6-4054-8AF2-FDF310C0B26A}"/>
    <cellStyle name="Денежный 2 6 2 2 3" xfId="4209" xr:uid="{03E3F6F0-BBA6-4054-8AF2-FDF310C0B26A}"/>
    <cellStyle name="Денежный 2 6 2 3" xfId="1654" xr:uid="{03E3F6F0-BBA6-4054-8AF2-FDF310C0B26A}"/>
    <cellStyle name="Денежный 2 6 2 3 2" xfId="2354" xr:uid="{03E3F6F0-BBA6-4054-8AF2-FDF310C0B26A}"/>
    <cellStyle name="Денежный 2 6 2 3 2 2" xfId="5348" xr:uid="{03E3F6F0-BBA6-4054-8AF2-FDF310C0B26A}"/>
    <cellStyle name="Денежный 2 6 2 3 3" xfId="4649" xr:uid="{03E3F6F0-BBA6-4054-8AF2-FDF310C0B26A}"/>
    <cellStyle name="Денежный 2 6 2 4" xfId="1915" xr:uid="{03E3F6F0-BBA6-4054-8AF2-FDF310C0B26A}"/>
    <cellStyle name="Денежный 2 6 2 4 2" xfId="4910" xr:uid="{03E3F6F0-BBA6-4054-8AF2-FDF310C0B26A}"/>
    <cellStyle name="Денежный 2 6 2 5" xfId="3045" xr:uid="{03E3F6F0-BBA6-4054-8AF2-FDF310C0B26A}"/>
    <cellStyle name="Денежный 2 6 2 5 2" xfId="6039" xr:uid="{03E3F6F0-BBA6-4054-8AF2-FDF310C0B26A}"/>
    <cellStyle name="Денежный 2 6 2 6" xfId="3856" xr:uid="{03E3F6F0-BBA6-4054-8AF2-FDF310C0B26A}"/>
    <cellStyle name="Денежный 2 6 3" xfId="755" xr:uid="{03E3F6F0-BBA6-4054-8AF2-FDF310C0B26A}"/>
    <cellStyle name="Денежный 2 6 3 2" xfId="1549" xr:uid="{03E3F6F0-BBA6-4054-8AF2-FDF310C0B26A}"/>
    <cellStyle name="Денежный 2 6 3 2 2" xfId="2270" xr:uid="{03E3F6F0-BBA6-4054-8AF2-FDF310C0B26A}"/>
    <cellStyle name="Денежный 2 6 3 2 2 2" xfId="5264" xr:uid="{03E3F6F0-BBA6-4054-8AF2-FDF310C0B26A}"/>
    <cellStyle name="Денежный 2 6 3 2 3" xfId="4544" xr:uid="{03E3F6F0-BBA6-4054-8AF2-FDF310C0B26A}"/>
    <cellStyle name="Денежный 2 6 3 3" xfId="1831" xr:uid="{03E3F6F0-BBA6-4054-8AF2-FDF310C0B26A}"/>
    <cellStyle name="Денежный 2 6 3 3 2" xfId="4826" xr:uid="{03E3F6F0-BBA6-4054-8AF2-FDF310C0B26A}"/>
    <cellStyle name="Денежный 2 6 3 4" xfId="2940" xr:uid="{03E3F6F0-BBA6-4054-8AF2-FDF310C0B26A}"/>
    <cellStyle name="Денежный 2 6 3 4 2" xfId="5934" xr:uid="{03E3F6F0-BBA6-4054-8AF2-FDF310C0B26A}"/>
    <cellStyle name="Денежный 2 6 3 5" xfId="3751" xr:uid="{03E3F6F0-BBA6-4054-8AF2-FDF310C0B26A}"/>
    <cellStyle name="Денежный 2 6 4" xfId="889" xr:uid="{03E3F6F0-BBA6-4054-8AF2-FDF310C0B26A}"/>
    <cellStyle name="Денежный 2 6 4 2" xfId="1942" xr:uid="{03E3F6F0-BBA6-4054-8AF2-FDF310C0B26A}"/>
    <cellStyle name="Денежный 2 6 4 2 2" xfId="4937" xr:uid="{03E3F6F0-BBA6-4054-8AF2-FDF310C0B26A}"/>
    <cellStyle name="Денежный 2 6 4 3" xfId="2710" xr:uid="{03E3F6F0-BBA6-4054-8AF2-FDF310C0B26A}"/>
    <cellStyle name="Денежный 2 6 4 3 2" xfId="5704" xr:uid="{03E3F6F0-BBA6-4054-8AF2-FDF310C0B26A}"/>
    <cellStyle name="Денежный 2 6 4 4" xfId="3885" xr:uid="{03E3F6F0-BBA6-4054-8AF2-FDF310C0B26A}"/>
    <cellStyle name="Денежный 2 6 5" xfId="1319" xr:uid="{03E3F6F0-BBA6-4054-8AF2-FDF310C0B26A}"/>
    <cellStyle name="Денежный 2 6 5 2" xfId="2178" xr:uid="{03E3F6F0-BBA6-4054-8AF2-FDF310C0B26A}"/>
    <cellStyle name="Денежный 2 6 5 2 2" xfId="5172" xr:uid="{03E3F6F0-BBA6-4054-8AF2-FDF310C0B26A}"/>
    <cellStyle name="Денежный 2 6 5 3" xfId="4314" xr:uid="{03E3F6F0-BBA6-4054-8AF2-FDF310C0B26A}"/>
    <cellStyle name="Денежный 2 6 6" xfId="1739" xr:uid="{03E3F6F0-BBA6-4054-8AF2-FDF310C0B26A}"/>
    <cellStyle name="Денежный 2 6 6 2" xfId="4734" xr:uid="{03E3F6F0-BBA6-4054-8AF2-FDF310C0B26A}"/>
    <cellStyle name="Денежный 2 6 7" xfId="2605" xr:uid="{03E3F6F0-BBA6-4054-8AF2-FDF310C0B26A}"/>
    <cellStyle name="Денежный 2 6 7 2" xfId="5599" xr:uid="{03E3F6F0-BBA6-4054-8AF2-FDF310C0B26A}"/>
    <cellStyle name="Денежный 2 6 8" xfId="3521" xr:uid="{03E3F6F0-BBA6-4054-8AF2-FDF310C0B26A}"/>
    <cellStyle name="Денежный 2 7" xfId="679" xr:uid="{03E3F6F0-BBA6-4054-8AF2-FDF310C0B26A}"/>
    <cellStyle name="Денежный 2 7 2" xfId="1115" xr:uid="{03E3F6F0-BBA6-4054-8AF2-FDF310C0B26A}"/>
    <cellStyle name="Денежный 2 7 2 2" xfId="2033" xr:uid="{03E3F6F0-BBA6-4054-8AF2-FDF310C0B26A}"/>
    <cellStyle name="Денежный 2 7 2 2 2" xfId="5027" xr:uid="{03E3F6F0-BBA6-4054-8AF2-FDF310C0B26A}"/>
    <cellStyle name="Денежный 2 7 2 3" xfId="2866" xr:uid="{03E3F6F0-BBA6-4054-8AF2-FDF310C0B26A}"/>
    <cellStyle name="Денежный 2 7 2 3 2" xfId="5860" xr:uid="{03E3F6F0-BBA6-4054-8AF2-FDF310C0B26A}"/>
    <cellStyle name="Денежный 2 7 2 4" xfId="4110" xr:uid="{03E3F6F0-BBA6-4054-8AF2-FDF310C0B26A}"/>
    <cellStyle name="Денежный 2 7 3" xfId="1475" xr:uid="{03E3F6F0-BBA6-4054-8AF2-FDF310C0B26A}"/>
    <cellStyle name="Денежный 2 7 3 2" xfId="2214" xr:uid="{03E3F6F0-BBA6-4054-8AF2-FDF310C0B26A}"/>
    <cellStyle name="Денежный 2 7 3 2 2" xfId="5208" xr:uid="{03E3F6F0-BBA6-4054-8AF2-FDF310C0B26A}"/>
    <cellStyle name="Денежный 2 7 3 3" xfId="4470" xr:uid="{03E3F6F0-BBA6-4054-8AF2-FDF310C0B26A}"/>
    <cellStyle name="Денежный 2 7 4" xfId="1775" xr:uid="{03E3F6F0-BBA6-4054-8AF2-FDF310C0B26A}"/>
    <cellStyle name="Денежный 2 7 4 2" xfId="4770" xr:uid="{03E3F6F0-BBA6-4054-8AF2-FDF310C0B26A}"/>
    <cellStyle name="Денежный 2 7 5" xfId="2530" xr:uid="{03E3F6F0-BBA6-4054-8AF2-FDF310C0B26A}"/>
    <cellStyle name="Денежный 2 7 5 2" xfId="5524" xr:uid="{03E3F6F0-BBA6-4054-8AF2-FDF310C0B26A}"/>
    <cellStyle name="Денежный 2 7 6" xfId="3677" xr:uid="{03E3F6F0-BBA6-4054-8AF2-FDF310C0B26A}"/>
    <cellStyle name="Денежный 2 8" xfId="785" xr:uid="{03E3F6F0-BBA6-4054-8AF2-FDF310C0B26A}"/>
    <cellStyle name="Денежный 2 8 2" xfId="1139" xr:uid="{03E3F6F0-BBA6-4054-8AF2-FDF310C0B26A}"/>
    <cellStyle name="Денежный 2 8 2 2" xfId="2038" xr:uid="{03E3F6F0-BBA6-4054-8AF2-FDF310C0B26A}"/>
    <cellStyle name="Денежный 2 8 2 2 2" xfId="5032" xr:uid="{03E3F6F0-BBA6-4054-8AF2-FDF310C0B26A}"/>
    <cellStyle name="Денежный 2 8 2 3" xfId="4134" xr:uid="{03E3F6F0-BBA6-4054-8AF2-FDF310C0B26A}"/>
    <cellStyle name="Денежный 2 8 3" xfId="1579" xr:uid="{03E3F6F0-BBA6-4054-8AF2-FDF310C0B26A}"/>
    <cellStyle name="Денежный 2 8 3 2" xfId="2298" xr:uid="{03E3F6F0-BBA6-4054-8AF2-FDF310C0B26A}"/>
    <cellStyle name="Денежный 2 8 3 2 2" xfId="5292" xr:uid="{03E3F6F0-BBA6-4054-8AF2-FDF310C0B26A}"/>
    <cellStyle name="Денежный 2 8 3 3" xfId="4574" xr:uid="{03E3F6F0-BBA6-4054-8AF2-FDF310C0B26A}"/>
    <cellStyle name="Денежный 2 8 4" xfId="1859" xr:uid="{03E3F6F0-BBA6-4054-8AF2-FDF310C0B26A}"/>
    <cellStyle name="Денежный 2 8 4 2" xfId="4854" xr:uid="{03E3F6F0-BBA6-4054-8AF2-FDF310C0B26A}"/>
    <cellStyle name="Денежный 2 8 5" xfId="2970" xr:uid="{03E3F6F0-BBA6-4054-8AF2-FDF310C0B26A}"/>
    <cellStyle name="Денежный 2 8 5 2" xfId="5964" xr:uid="{03E3F6F0-BBA6-4054-8AF2-FDF310C0B26A}"/>
    <cellStyle name="Денежный 2 8 6" xfId="3781" xr:uid="{03E3F6F0-BBA6-4054-8AF2-FDF310C0B26A}"/>
    <cellStyle name="Денежный 2 9" xfId="933" xr:uid="{03E3F6F0-BBA6-4054-8AF2-FDF310C0B26A}"/>
    <cellStyle name="Денежный 2 9 2" xfId="1978" xr:uid="{03E3F6F0-BBA6-4054-8AF2-FDF310C0B26A}"/>
    <cellStyle name="Денежный 2 9 2 2" xfId="4972" xr:uid="{03E3F6F0-BBA6-4054-8AF2-FDF310C0B26A}"/>
    <cellStyle name="Денежный 2 9 3" xfId="2635" xr:uid="{03E3F6F0-BBA6-4054-8AF2-FDF310C0B26A}"/>
    <cellStyle name="Денежный 2 9 3 2" xfId="5629" xr:uid="{03E3F6F0-BBA6-4054-8AF2-FDF310C0B26A}"/>
    <cellStyle name="Денежный 2 9 4" xfId="3928" xr:uid="{03E3F6F0-BBA6-4054-8AF2-FDF310C0B26A}"/>
    <cellStyle name="Денежный 3" xfId="110" xr:uid="{00000000-0005-0000-0000-00007A000000}"/>
    <cellStyle name="Денежный 3 10" xfId="966" xr:uid="{00000000-0005-0000-0000-000062000000}"/>
    <cellStyle name="Денежный 3 10 2" xfId="2001" xr:uid="{00000000-0005-0000-0000-000062000000}"/>
    <cellStyle name="Денежный 3 10 2 2" xfId="4995" xr:uid="{00000000-0005-0000-0000-000062000000}"/>
    <cellStyle name="Денежный 3 10 3" xfId="2658" xr:uid="{00000000-0005-0000-0000-000062000000}"/>
    <cellStyle name="Денежный 3 10 3 2" xfId="5652" xr:uid="{00000000-0005-0000-0000-000062000000}"/>
    <cellStyle name="Денежный 3 10 4" xfId="3961" xr:uid="{00000000-0005-0000-0000-000062000000}"/>
    <cellStyle name="Денежный 3 11" xfId="1267" xr:uid="{00000000-0005-0000-0000-000062000000}"/>
    <cellStyle name="Денежный 3 11 2" xfId="2127" xr:uid="{00000000-0005-0000-0000-000062000000}"/>
    <cellStyle name="Денежный 3 11 2 2" xfId="5121" xr:uid="{00000000-0005-0000-0000-000062000000}"/>
    <cellStyle name="Денежный 3 11 3" xfId="4262" xr:uid="{00000000-0005-0000-0000-000062000000}"/>
    <cellStyle name="Денежный 3 12" xfId="1688" xr:uid="{00000000-0005-0000-0000-000062000000}"/>
    <cellStyle name="Денежный 3 12 2" xfId="4683" xr:uid="{00000000-0005-0000-0000-000062000000}"/>
    <cellStyle name="Денежный 3 13" xfId="468" xr:uid="{00000000-0005-0000-0000-000062000000}"/>
    <cellStyle name="Денежный 3 13 2" xfId="3470" xr:uid="{00000000-0005-0000-0000-000062000000}"/>
    <cellStyle name="Денежный 3 14" xfId="2436" xr:uid="{00000000-0005-0000-0000-00007A000000}"/>
    <cellStyle name="Денежный 3 14 2" xfId="5430" xr:uid="{00000000-0005-0000-0000-00007A000000}"/>
    <cellStyle name="Денежный 3 15" xfId="3134" xr:uid="{00000000-0005-0000-0000-00007A000000}"/>
    <cellStyle name="Денежный 3 2" xfId="185" xr:uid="{00000000-0005-0000-0000-00007A000000}"/>
    <cellStyle name="Денежный 3 2 10" xfId="476" xr:uid="{00000000-0005-0000-0000-000062000000}"/>
    <cellStyle name="Денежный 3 2 10 2" xfId="3477" xr:uid="{00000000-0005-0000-0000-000062000000}"/>
    <cellStyle name="Денежный 3 2 11" xfId="2561" xr:uid="{00000000-0005-0000-0000-000062000000}"/>
    <cellStyle name="Денежный 3 2 11 2" xfId="5555" xr:uid="{00000000-0005-0000-0000-000062000000}"/>
    <cellStyle name="Денежный 3 2 12" xfId="3208" xr:uid="{00000000-0005-0000-0000-00007A000000}"/>
    <cellStyle name="Денежный 3 2 2" xfId="330" xr:uid="{00000000-0005-0000-0000-00007A000000}"/>
    <cellStyle name="Денежный 3 2 2 10" xfId="2575" xr:uid="{00000000-0005-0000-0000-000062000000}"/>
    <cellStyle name="Денежный 3 2 2 10 2" xfId="5569" xr:uid="{00000000-0005-0000-0000-000062000000}"/>
    <cellStyle name="Денежный 3 2 2 11" xfId="3353" xr:uid="{00000000-0005-0000-0000-00007A000000}"/>
    <cellStyle name="Денежный 3 2 2 2" xfId="520" xr:uid="{00000000-0005-0000-0000-000062000000}"/>
    <cellStyle name="Денежный 3 2 2 2 2" xfId="858" xr:uid="{00000000-0005-0000-0000-000062000000}"/>
    <cellStyle name="Денежный 3 2 2 2 2 2" xfId="1212" xr:uid="{00000000-0005-0000-0000-000062000000}"/>
    <cellStyle name="Денежный 3 2 2 2 2 2 2" xfId="2092" xr:uid="{00000000-0005-0000-0000-000062000000}"/>
    <cellStyle name="Денежный 3 2 2 2 2 2 2 2" xfId="5086" xr:uid="{00000000-0005-0000-0000-000062000000}"/>
    <cellStyle name="Денежный 3 2 2 2 2 2 3" xfId="4207" xr:uid="{00000000-0005-0000-0000-000062000000}"/>
    <cellStyle name="Денежный 3 2 2 2 2 3" xfId="1652" xr:uid="{00000000-0005-0000-0000-000062000000}"/>
    <cellStyle name="Денежный 3 2 2 2 2 3 2" xfId="2352" xr:uid="{00000000-0005-0000-0000-000062000000}"/>
    <cellStyle name="Денежный 3 2 2 2 2 3 2 2" xfId="5346" xr:uid="{00000000-0005-0000-0000-000062000000}"/>
    <cellStyle name="Денежный 3 2 2 2 2 3 3" xfId="4647" xr:uid="{00000000-0005-0000-0000-000062000000}"/>
    <cellStyle name="Денежный 3 2 2 2 2 4" xfId="1913" xr:uid="{00000000-0005-0000-0000-000062000000}"/>
    <cellStyle name="Денежный 3 2 2 2 2 4 2" xfId="4908" xr:uid="{00000000-0005-0000-0000-000062000000}"/>
    <cellStyle name="Денежный 3 2 2 2 2 5" xfId="3043" xr:uid="{00000000-0005-0000-0000-000062000000}"/>
    <cellStyle name="Денежный 3 2 2 2 2 5 2" xfId="6037" xr:uid="{00000000-0005-0000-0000-000062000000}"/>
    <cellStyle name="Денежный 3 2 2 2 2 6" xfId="3854" xr:uid="{00000000-0005-0000-0000-000062000000}"/>
    <cellStyle name="Денежный 3 2 2 2 3" xfId="753" xr:uid="{00000000-0005-0000-0000-000062000000}"/>
    <cellStyle name="Денежный 3 2 2 2 3 2" xfId="1547" xr:uid="{00000000-0005-0000-0000-000062000000}"/>
    <cellStyle name="Денежный 3 2 2 2 3 2 2" xfId="2268" xr:uid="{00000000-0005-0000-0000-000062000000}"/>
    <cellStyle name="Денежный 3 2 2 2 3 2 2 2" xfId="5262" xr:uid="{00000000-0005-0000-0000-000062000000}"/>
    <cellStyle name="Денежный 3 2 2 2 3 2 3" xfId="4542" xr:uid="{00000000-0005-0000-0000-000062000000}"/>
    <cellStyle name="Денежный 3 2 2 2 3 3" xfId="1829" xr:uid="{00000000-0005-0000-0000-000062000000}"/>
    <cellStyle name="Денежный 3 2 2 2 3 3 2" xfId="4824" xr:uid="{00000000-0005-0000-0000-000062000000}"/>
    <cellStyle name="Денежный 3 2 2 2 3 4" xfId="2938" xr:uid="{00000000-0005-0000-0000-000062000000}"/>
    <cellStyle name="Денежный 3 2 2 2 3 4 2" xfId="5932" xr:uid="{00000000-0005-0000-0000-000062000000}"/>
    <cellStyle name="Денежный 3 2 2 2 3 5" xfId="3749" xr:uid="{00000000-0005-0000-0000-000062000000}"/>
    <cellStyle name="Денежный 3 2 2 2 4" xfId="890" xr:uid="{00000000-0005-0000-0000-000062000000}"/>
    <cellStyle name="Денежный 3 2 2 2 4 2" xfId="1943" xr:uid="{00000000-0005-0000-0000-000062000000}"/>
    <cellStyle name="Денежный 3 2 2 2 4 2 2" xfId="4938" xr:uid="{00000000-0005-0000-0000-000062000000}"/>
    <cellStyle name="Денежный 3 2 2 2 4 3" xfId="2708" xr:uid="{00000000-0005-0000-0000-000062000000}"/>
    <cellStyle name="Денежный 3 2 2 2 4 3 2" xfId="5702" xr:uid="{00000000-0005-0000-0000-000062000000}"/>
    <cellStyle name="Денежный 3 2 2 2 4 4" xfId="3886" xr:uid="{00000000-0005-0000-0000-000062000000}"/>
    <cellStyle name="Денежный 3 2 2 2 5" xfId="1317" xr:uid="{00000000-0005-0000-0000-000062000000}"/>
    <cellStyle name="Денежный 3 2 2 2 5 2" xfId="2176" xr:uid="{00000000-0005-0000-0000-000062000000}"/>
    <cellStyle name="Денежный 3 2 2 2 5 2 2" xfId="5170" xr:uid="{00000000-0005-0000-0000-000062000000}"/>
    <cellStyle name="Денежный 3 2 2 2 5 3" xfId="4312" xr:uid="{00000000-0005-0000-0000-000062000000}"/>
    <cellStyle name="Денежный 3 2 2 2 6" xfId="1737" xr:uid="{00000000-0005-0000-0000-000062000000}"/>
    <cellStyle name="Денежный 3 2 2 2 6 2" xfId="4732" xr:uid="{00000000-0005-0000-0000-000062000000}"/>
    <cellStyle name="Денежный 3 2 2 2 7" xfId="2603" xr:uid="{00000000-0005-0000-0000-000062000000}"/>
    <cellStyle name="Денежный 3 2 2 2 7 2" xfId="5597" xr:uid="{00000000-0005-0000-0000-000062000000}"/>
    <cellStyle name="Денежный 3 2 2 2 8" xfId="3519" xr:uid="{00000000-0005-0000-0000-000062000000}"/>
    <cellStyle name="Денежный 3 2 2 3" xfId="548" xr:uid="{00000000-0005-0000-0000-000062000000}"/>
    <cellStyle name="Денежный 3 2 2 3 2" xfId="886" xr:uid="{00000000-0005-0000-0000-000062000000}"/>
    <cellStyle name="Денежный 3 2 2 3 2 2" xfId="1240" xr:uid="{00000000-0005-0000-0000-000062000000}"/>
    <cellStyle name="Денежный 3 2 2 3 2 2 2" xfId="2120" xr:uid="{00000000-0005-0000-0000-000062000000}"/>
    <cellStyle name="Денежный 3 2 2 3 2 2 2 2" xfId="5114" xr:uid="{00000000-0005-0000-0000-000062000000}"/>
    <cellStyle name="Денежный 3 2 2 3 2 2 3" xfId="4235" xr:uid="{00000000-0005-0000-0000-000062000000}"/>
    <cellStyle name="Денежный 3 2 2 3 2 3" xfId="1680" xr:uid="{00000000-0005-0000-0000-000062000000}"/>
    <cellStyle name="Денежный 3 2 2 3 2 3 2" xfId="2380" xr:uid="{00000000-0005-0000-0000-000062000000}"/>
    <cellStyle name="Денежный 3 2 2 3 2 3 2 2" xfId="5374" xr:uid="{00000000-0005-0000-0000-000062000000}"/>
    <cellStyle name="Денежный 3 2 2 3 2 3 3" xfId="4675" xr:uid="{00000000-0005-0000-0000-000062000000}"/>
    <cellStyle name="Денежный 3 2 2 3 2 4" xfId="1941" xr:uid="{00000000-0005-0000-0000-000062000000}"/>
    <cellStyle name="Денежный 3 2 2 3 2 4 2" xfId="4936" xr:uid="{00000000-0005-0000-0000-000062000000}"/>
    <cellStyle name="Денежный 3 2 2 3 2 5" xfId="3071" xr:uid="{00000000-0005-0000-0000-000062000000}"/>
    <cellStyle name="Денежный 3 2 2 3 2 5 2" xfId="6065" xr:uid="{00000000-0005-0000-0000-000062000000}"/>
    <cellStyle name="Денежный 3 2 2 3 2 6" xfId="3882" xr:uid="{00000000-0005-0000-0000-000062000000}"/>
    <cellStyle name="Денежный 3 2 2 3 3" xfId="781" xr:uid="{00000000-0005-0000-0000-000062000000}"/>
    <cellStyle name="Денежный 3 2 2 3 3 2" xfId="1575" xr:uid="{00000000-0005-0000-0000-000062000000}"/>
    <cellStyle name="Денежный 3 2 2 3 3 2 2" xfId="2296" xr:uid="{00000000-0005-0000-0000-000062000000}"/>
    <cellStyle name="Денежный 3 2 2 3 3 2 2 2" xfId="5290" xr:uid="{00000000-0005-0000-0000-000062000000}"/>
    <cellStyle name="Денежный 3 2 2 3 3 2 3" xfId="4570" xr:uid="{00000000-0005-0000-0000-000062000000}"/>
    <cellStyle name="Денежный 3 2 2 3 3 3" xfId="1857" xr:uid="{00000000-0005-0000-0000-000062000000}"/>
    <cellStyle name="Денежный 3 2 2 3 3 3 2" xfId="4852" xr:uid="{00000000-0005-0000-0000-000062000000}"/>
    <cellStyle name="Денежный 3 2 2 3 3 4" xfId="2966" xr:uid="{00000000-0005-0000-0000-000062000000}"/>
    <cellStyle name="Денежный 3 2 2 3 3 4 2" xfId="5960" xr:uid="{00000000-0005-0000-0000-000062000000}"/>
    <cellStyle name="Денежный 3 2 2 3 3 5" xfId="3777" xr:uid="{00000000-0005-0000-0000-000062000000}"/>
    <cellStyle name="Денежный 3 2 2 3 4" xfId="991" xr:uid="{00000000-0005-0000-0000-000062000000}"/>
    <cellStyle name="Денежный 3 2 2 3 4 2" xfId="2026" xr:uid="{00000000-0005-0000-0000-000062000000}"/>
    <cellStyle name="Денежный 3 2 2 3 4 2 2" xfId="5020" xr:uid="{00000000-0005-0000-0000-000062000000}"/>
    <cellStyle name="Денежный 3 2 2 3 4 3" xfId="2736" xr:uid="{00000000-0005-0000-0000-000062000000}"/>
    <cellStyle name="Денежный 3 2 2 3 4 3 2" xfId="5730" xr:uid="{00000000-0005-0000-0000-000062000000}"/>
    <cellStyle name="Денежный 3 2 2 3 4 4" xfId="3986" xr:uid="{00000000-0005-0000-0000-000062000000}"/>
    <cellStyle name="Денежный 3 2 2 3 5" xfId="1345" xr:uid="{00000000-0005-0000-0000-000062000000}"/>
    <cellStyle name="Денежный 3 2 2 3 5 2" xfId="2204" xr:uid="{00000000-0005-0000-0000-000062000000}"/>
    <cellStyle name="Денежный 3 2 2 3 5 2 2" xfId="5198" xr:uid="{00000000-0005-0000-0000-000062000000}"/>
    <cellStyle name="Денежный 3 2 2 3 5 3" xfId="4340" xr:uid="{00000000-0005-0000-0000-000062000000}"/>
    <cellStyle name="Денежный 3 2 2 3 6" xfId="1765" xr:uid="{00000000-0005-0000-0000-000062000000}"/>
    <cellStyle name="Денежный 3 2 2 3 6 2" xfId="4760" xr:uid="{00000000-0005-0000-0000-000062000000}"/>
    <cellStyle name="Денежный 3 2 2 3 7" xfId="2631" xr:uid="{00000000-0005-0000-0000-000062000000}"/>
    <cellStyle name="Денежный 3 2 2 3 7 2" xfId="5625" xr:uid="{00000000-0005-0000-0000-000062000000}"/>
    <cellStyle name="Денежный 3 2 2 3 8" xfId="3547" xr:uid="{00000000-0005-0000-0000-000062000000}"/>
    <cellStyle name="Денежный 3 2 2 4" xfId="830" xr:uid="{00000000-0005-0000-0000-000062000000}"/>
    <cellStyle name="Денежный 3 2 2 4 2" xfId="1184" xr:uid="{00000000-0005-0000-0000-000062000000}"/>
    <cellStyle name="Денежный 3 2 2 4 2 2" xfId="2064" xr:uid="{00000000-0005-0000-0000-000062000000}"/>
    <cellStyle name="Денежный 3 2 2 4 2 2 2" xfId="5058" xr:uid="{00000000-0005-0000-0000-000062000000}"/>
    <cellStyle name="Денежный 3 2 2 4 2 3" xfId="4179" xr:uid="{00000000-0005-0000-0000-000062000000}"/>
    <cellStyle name="Денежный 3 2 2 4 3" xfId="1624" xr:uid="{00000000-0005-0000-0000-000062000000}"/>
    <cellStyle name="Денежный 3 2 2 4 3 2" xfId="2324" xr:uid="{00000000-0005-0000-0000-000062000000}"/>
    <cellStyle name="Денежный 3 2 2 4 3 2 2" xfId="5318" xr:uid="{00000000-0005-0000-0000-000062000000}"/>
    <cellStyle name="Денежный 3 2 2 4 3 3" xfId="4619" xr:uid="{00000000-0005-0000-0000-000062000000}"/>
    <cellStyle name="Денежный 3 2 2 4 4" xfId="1885" xr:uid="{00000000-0005-0000-0000-000062000000}"/>
    <cellStyle name="Денежный 3 2 2 4 4 2" xfId="4880" xr:uid="{00000000-0005-0000-0000-000062000000}"/>
    <cellStyle name="Денежный 3 2 2 4 5" xfId="3015" xr:uid="{00000000-0005-0000-0000-000062000000}"/>
    <cellStyle name="Денежный 3 2 2 4 5 2" xfId="6009" xr:uid="{00000000-0005-0000-0000-000062000000}"/>
    <cellStyle name="Денежный 3 2 2 4 6" xfId="3826" xr:uid="{00000000-0005-0000-0000-000062000000}"/>
    <cellStyle name="Денежный 3 2 2 5" xfId="724" xr:uid="{00000000-0005-0000-0000-000062000000}"/>
    <cellStyle name="Денежный 3 2 2 5 2" xfId="1519" xr:uid="{00000000-0005-0000-0000-000062000000}"/>
    <cellStyle name="Денежный 3 2 2 5 2 2" xfId="2240" xr:uid="{00000000-0005-0000-0000-000062000000}"/>
    <cellStyle name="Денежный 3 2 2 5 2 2 2" xfId="5234" xr:uid="{00000000-0005-0000-0000-000062000000}"/>
    <cellStyle name="Денежный 3 2 2 5 2 3" xfId="4514" xr:uid="{00000000-0005-0000-0000-000062000000}"/>
    <cellStyle name="Денежный 3 2 2 5 3" xfId="1801" xr:uid="{00000000-0005-0000-0000-000062000000}"/>
    <cellStyle name="Денежный 3 2 2 5 3 2" xfId="4796" xr:uid="{00000000-0005-0000-0000-000062000000}"/>
    <cellStyle name="Денежный 3 2 2 5 4" xfId="2910" xr:uid="{00000000-0005-0000-0000-000062000000}"/>
    <cellStyle name="Денежный 3 2 2 5 4 2" xfId="5904" xr:uid="{00000000-0005-0000-0000-000062000000}"/>
    <cellStyle name="Денежный 3 2 2 5 5" xfId="3721" xr:uid="{00000000-0005-0000-0000-000062000000}"/>
    <cellStyle name="Денежный 3 2 2 6" xfId="909" xr:uid="{00000000-0005-0000-0000-000062000000}"/>
    <cellStyle name="Денежный 3 2 2 6 2" xfId="1958" xr:uid="{00000000-0005-0000-0000-000062000000}"/>
    <cellStyle name="Денежный 3 2 2 6 2 2" xfId="4952" xr:uid="{00000000-0005-0000-0000-000062000000}"/>
    <cellStyle name="Денежный 3 2 2 6 3" xfId="2680" xr:uid="{00000000-0005-0000-0000-000062000000}"/>
    <cellStyle name="Денежный 3 2 2 6 3 2" xfId="5674" xr:uid="{00000000-0005-0000-0000-000062000000}"/>
    <cellStyle name="Денежный 3 2 2 6 4" xfId="3904" xr:uid="{00000000-0005-0000-0000-000062000000}"/>
    <cellStyle name="Денежный 3 2 2 7" xfId="1289" xr:uid="{00000000-0005-0000-0000-000062000000}"/>
    <cellStyle name="Денежный 3 2 2 7 2" xfId="2148" xr:uid="{00000000-0005-0000-0000-000062000000}"/>
    <cellStyle name="Денежный 3 2 2 7 2 2" xfId="5142" xr:uid="{00000000-0005-0000-0000-000062000000}"/>
    <cellStyle name="Денежный 3 2 2 7 3" xfId="4284" xr:uid="{00000000-0005-0000-0000-000062000000}"/>
    <cellStyle name="Денежный 3 2 2 8" xfId="1709" xr:uid="{00000000-0005-0000-0000-000062000000}"/>
    <cellStyle name="Денежный 3 2 2 8 2" xfId="4704" xr:uid="{00000000-0005-0000-0000-000062000000}"/>
    <cellStyle name="Денежный 3 2 2 9" xfId="490" xr:uid="{00000000-0005-0000-0000-000062000000}"/>
    <cellStyle name="Денежный 3 2 2 9 2" xfId="3491" xr:uid="{00000000-0005-0000-0000-000062000000}"/>
    <cellStyle name="Денежный 3 2 3" xfId="504" xr:uid="{00000000-0005-0000-0000-000062000000}"/>
    <cellStyle name="Денежный 3 2 3 2" xfId="844" xr:uid="{00000000-0005-0000-0000-000062000000}"/>
    <cellStyle name="Денежный 3 2 3 2 2" xfId="1198" xr:uid="{00000000-0005-0000-0000-000062000000}"/>
    <cellStyle name="Денежный 3 2 3 2 2 2" xfId="2078" xr:uid="{00000000-0005-0000-0000-000062000000}"/>
    <cellStyle name="Денежный 3 2 3 2 2 2 2" xfId="5072" xr:uid="{00000000-0005-0000-0000-000062000000}"/>
    <cellStyle name="Денежный 3 2 3 2 2 3" xfId="4193" xr:uid="{00000000-0005-0000-0000-000062000000}"/>
    <cellStyle name="Денежный 3 2 3 2 3" xfId="1638" xr:uid="{00000000-0005-0000-0000-000062000000}"/>
    <cellStyle name="Денежный 3 2 3 2 3 2" xfId="2338" xr:uid="{00000000-0005-0000-0000-000062000000}"/>
    <cellStyle name="Денежный 3 2 3 2 3 2 2" xfId="5332" xr:uid="{00000000-0005-0000-0000-000062000000}"/>
    <cellStyle name="Денежный 3 2 3 2 3 3" xfId="4633" xr:uid="{00000000-0005-0000-0000-000062000000}"/>
    <cellStyle name="Денежный 3 2 3 2 4" xfId="1899" xr:uid="{00000000-0005-0000-0000-000062000000}"/>
    <cellStyle name="Денежный 3 2 3 2 4 2" xfId="4894" xr:uid="{00000000-0005-0000-0000-000062000000}"/>
    <cellStyle name="Денежный 3 2 3 2 5" xfId="3029" xr:uid="{00000000-0005-0000-0000-000062000000}"/>
    <cellStyle name="Денежный 3 2 3 2 5 2" xfId="6023" xr:uid="{00000000-0005-0000-0000-000062000000}"/>
    <cellStyle name="Денежный 3 2 3 2 6" xfId="3840" xr:uid="{00000000-0005-0000-0000-000062000000}"/>
    <cellStyle name="Денежный 3 2 3 3" xfId="738" xr:uid="{00000000-0005-0000-0000-000062000000}"/>
    <cellStyle name="Денежный 3 2 3 3 2" xfId="1533" xr:uid="{00000000-0005-0000-0000-000062000000}"/>
    <cellStyle name="Денежный 3 2 3 3 2 2" xfId="2254" xr:uid="{00000000-0005-0000-0000-000062000000}"/>
    <cellStyle name="Денежный 3 2 3 3 2 2 2" xfId="5248" xr:uid="{00000000-0005-0000-0000-000062000000}"/>
    <cellStyle name="Денежный 3 2 3 3 2 3" xfId="4528" xr:uid="{00000000-0005-0000-0000-000062000000}"/>
    <cellStyle name="Денежный 3 2 3 3 3" xfId="1815" xr:uid="{00000000-0005-0000-0000-000062000000}"/>
    <cellStyle name="Денежный 3 2 3 3 3 2" xfId="4810" xr:uid="{00000000-0005-0000-0000-000062000000}"/>
    <cellStyle name="Денежный 3 2 3 3 4" xfId="2924" xr:uid="{00000000-0005-0000-0000-000062000000}"/>
    <cellStyle name="Денежный 3 2 3 3 4 2" xfId="5918" xr:uid="{00000000-0005-0000-0000-000062000000}"/>
    <cellStyle name="Денежный 3 2 3 3 5" xfId="3735" xr:uid="{00000000-0005-0000-0000-000062000000}"/>
    <cellStyle name="Денежный 3 2 3 4" xfId="955" xr:uid="{00000000-0005-0000-0000-000062000000}"/>
    <cellStyle name="Денежный 3 2 3 4 2" xfId="1994" xr:uid="{00000000-0005-0000-0000-000062000000}"/>
    <cellStyle name="Денежный 3 2 3 4 2 2" xfId="4988" xr:uid="{00000000-0005-0000-0000-000062000000}"/>
    <cellStyle name="Денежный 3 2 3 4 3" xfId="2694" xr:uid="{00000000-0005-0000-0000-000062000000}"/>
    <cellStyle name="Денежный 3 2 3 4 3 2" xfId="5688" xr:uid="{00000000-0005-0000-0000-000062000000}"/>
    <cellStyle name="Денежный 3 2 3 4 4" xfId="3950" xr:uid="{00000000-0005-0000-0000-000062000000}"/>
    <cellStyle name="Денежный 3 2 3 5" xfId="1303" xr:uid="{00000000-0005-0000-0000-000062000000}"/>
    <cellStyle name="Денежный 3 2 3 5 2" xfId="2162" xr:uid="{00000000-0005-0000-0000-000062000000}"/>
    <cellStyle name="Денежный 3 2 3 5 2 2" xfId="5156" xr:uid="{00000000-0005-0000-0000-000062000000}"/>
    <cellStyle name="Денежный 3 2 3 5 3" xfId="4298" xr:uid="{00000000-0005-0000-0000-000062000000}"/>
    <cellStyle name="Денежный 3 2 3 6" xfId="1723" xr:uid="{00000000-0005-0000-0000-000062000000}"/>
    <cellStyle name="Денежный 3 2 3 6 2" xfId="4718" xr:uid="{00000000-0005-0000-0000-000062000000}"/>
    <cellStyle name="Денежный 3 2 3 7" xfId="2589" xr:uid="{00000000-0005-0000-0000-000062000000}"/>
    <cellStyle name="Денежный 3 2 3 7 2" xfId="5583" xr:uid="{00000000-0005-0000-0000-000062000000}"/>
    <cellStyle name="Денежный 3 2 3 8" xfId="3505" xr:uid="{00000000-0005-0000-0000-000062000000}"/>
    <cellStyle name="Денежный 3 2 4" xfId="534" xr:uid="{00000000-0005-0000-0000-000062000000}"/>
    <cellStyle name="Денежный 3 2 4 2" xfId="872" xr:uid="{00000000-0005-0000-0000-000062000000}"/>
    <cellStyle name="Денежный 3 2 4 2 2" xfId="1226" xr:uid="{00000000-0005-0000-0000-000062000000}"/>
    <cellStyle name="Денежный 3 2 4 2 2 2" xfId="2106" xr:uid="{00000000-0005-0000-0000-000062000000}"/>
    <cellStyle name="Денежный 3 2 4 2 2 2 2" xfId="5100" xr:uid="{00000000-0005-0000-0000-000062000000}"/>
    <cellStyle name="Денежный 3 2 4 2 2 3" xfId="4221" xr:uid="{00000000-0005-0000-0000-000062000000}"/>
    <cellStyle name="Денежный 3 2 4 2 3" xfId="1666" xr:uid="{00000000-0005-0000-0000-000062000000}"/>
    <cellStyle name="Денежный 3 2 4 2 3 2" xfId="2366" xr:uid="{00000000-0005-0000-0000-000062000000}"/>
    <cellStyle name="Денежный 3 2 4 2 3 2 2" xfId="5360" xr:uid="{00000000-0005-0000-0000-000062000000}"/>
    <cellStyle name="Денежный 3 2 4 2 3 3" xfId="4661" xr:uid="{00000000-0005-0000-0000-000062000000}"/>
    <cellStyle name="Денежный 3 2 4 2 4" xfId="1927" xr:uid="{00000000-0005-0000-0000-000062000000}"/>
    <cellStyle name="Денежный 3 2 4 2 4 2" xfId="4922" xr:uid="{00000000-0005-0000-0000-000062000000}"/>
    <cellStyle name="Денежный 3 2 4 2 5" xfId="3057" xr:uid="{00000000-0005-0000-0000-000062000000}"/>
    <cellStyle name="Денежный 3 2 4 2 5 2" xfId="6051" xr:uid="{00000000-0005-0000-0000-000062000000}"/>
    <cellStyle name="Денежный 3 2 4 2 6" xfId="3868" xr:uid="{00000000-0005-0000-0000-000062000000}"/>
    <cellStyle name="Денежный 3 2 4 3" xfId="767" xr:uid="{00000000-0005-0000-0000-000062000000}"/>
    <cellStyle name="Денежный 3 2 4 3 2" xfId="1561" xr:uid="{00000000-0005-0000-0000-000062000000}"/>
    <cellStyle name="Денежный 3 2 4 3 2 2" xfId="2282" xr:uid="{00000000-0005-0000-0000-000062000000}"/>
    <cellStyle name="Денежный 3 2 4 3 2 2 2" xfId="5276" xr:uid="{00000000-0005-0000-0000-000062000000}"/>
    <cellStyle name="Денежный 3 2 4 3 2 3" xfId="4556" xr:uid="{00000000-0005-0000-0000-000062000000}"/>
    <cellStyle name="Денежный 3 2 4 3 3" xfId="1843" xr:uid="{00000000-0005-0000-0000-000062000000}"/>
    <cellStyle name="Денежный 3 2 4 3 3 2" xfId="4838" xr:uid="{00000000-0005-0000-0000-000062000000}"/>
    <cellStyle name="Денежный 3 2 4 3 4" xfId="2952" xr:uid="{00000000-0005-0000-0000-000062000000}"/>
    <cellStyle name="Денежный 3 2 4 3 4 2" xfId="5946" xr:uid="{00000000-0005-0000-0000-000062000000}"/>
    <cellStyle name="Денежный 3 2 4 3 5" xfId="3763" xr:uid="{00000000-0005-0000-0000-000062000000}"/>
    <cellStyle name="Денежный 3 2 4 4" xfId="977" xr:uid="{00000000-0005-0000-0000-000062000000}"/>
    <cellStyle name="Денежный 3 2 4 4 2" xfId="2012" xr:uid="{00000000-0005-0000-0000-000062000000}"/>
    <cellStyle name="Денежный 3 2 4 4 2 2" xfId="5006" xr:uid="{00000000-0005-0000-0000-000062000000}"/>
    <cellStyle name="Денежный 3 2 4 4 3" xfId="2722" xr:uid="{00000000-0005-0000-0000-000062000000}"/>
    <cellStyle name="Денежный 3 2 4 4 3 2" xfId="5716" xr:uid="{00000000-0005-0000-0000-000062000000}"/>
    <cellStyle name="Денежный 3 2 4 4 4" xfId="3972" xr:uid="{00000000-0005-0000-0000-000062000000}"/>
    <cellStyle name="Денежный 3 2 4 5" xfId="1331" xr:uid="{00000000-0005-0000-0000-000062000000}"/>
    <cellStyle name="Денежный 3 2 4 5 2" xfId="2190" xr:uid="{00000000-0005-0000-0000-000062000000}"/>
    <cellStyle name="Денежный 3 2 4 5 2 2" xfId="5184" xr:uid="{00000000-0005-0000-0000-000062000000}"/>
    <cellStyle name="Денежный 3 2 4 5 3" xfId="4326" xr:uid="{00000000-0005-0000-0000-000062000000}"/>
    <cellStyle name="Денежный 3 2 4 6" xfId="1751" xr:uid="{00000000-0005-0000-0000-000062000000}"/>
    <cellStyle name="Денежный 3 2 4 6 2" xfId="4746" xr:uid="{00000000-0005-0000-0000-000062000000}"/>
    <cellStyle name="Денежный 3 2 4 7" xfId="2617" xr:uid="{00000000-0005-0000-0000-000062000000}"/>
    <cellStyle name="Денежный 3 2 4 7 2" xfId="5611" xr:uid="{00000000-0005-0000-0000-000062000000}"/>
    <cellStyle name="Денежный 3 2 4 8" xfId="3533" xr:uid="{00000000-0005-0000-0000-000062000000}"/>
    <cellStyle name="Денежный 3 2 5" xfId="816" xr:uid="{00000000-0005-0000-0000-000062000000}"/>
    <cellStyle name="Денежный 3 2 5 2" xfId="1170" xr:uid="{00000000-0005-0000-0000-000062000000}"/>
    <cellStyle name="Денежный 3 2 5 2 2" xfId="2050" xr:uid="{00000000-0005-0000-0000-000062000000}"/>
    <cellStyle name="Денежный 3 2 5 2 2 2" xfId="5044" xr:uid="{00000000-0005-0000-0000-000062000000}"/>
    <cellStyle name="Денежный 3 2 5 2 3" xfId="4165" xr:uid="{00000000-0005-0000-0000-000062000000}"/>
    <cellStyle name="Денежный 3 2 5 3" xfId="1610" xr:uid="{00000000-0005-0000-0000-000062000000}"/>
    <cellStyle name="Денежный 3 2 5 3 2" xfId="2310" xr:uid="{00000000-0005-0000-0000-000062000000}"/>
    <cellStyle name="Денежный 3 2 5 3 2 2" xfId="5304" xr:uid="{00000000-0005-0000-0000-000062000000}"/>
    <cellStyle name="Денежный 3 2 5 3 3" xfId="4605" xr:uid="{00000000-0005-0000-0000-000062000000}"/>
    <cellStyle name="Денежный 3 2 5 4" xfId="1871" xr:uid="{00000000-0005-0000-0000-000062000000}"/>
    <cellStyle name="Денежный 3 2 5 4 2" xfId="4866" xr:uid="{00000000-0005-0000-0000-000062000000}"/>
    <cellStyle name="Денежный 3 2 5 5" xfId="3001" xr:uid="{00000000-0005-0000-0000-000062000000}"/>
    <cellStyle name="Денежный 3 2 5 5 2" xfId="5995" xr:uid="{00000000-0005-0000-0000-000062000000}"/>
    <cellStyle name="Денежный 3 2 5 6" xfId="3812" xr:uid="{00000000-0005-0000-0000-000062000000}"/>
    <cellStyle name="Денежный 3 2 6" xfId="710" xr:uid="{00000000-0005-0000-0000-000062000000}"/>
    <cellStyle name="Денежный 3 2 6 2" xfId="1505" xr:uid="{00000000-0005-0000-0000-000062000000}"/>
    <cellStyle name="Денежный 3 2 6 2 2" xfId="2226" xr:uid="{00000000-0005-0000-0000-000062000000}"/>
    <cellStyle name="Денежный 3 2 6 2 2 2" xfId="5220" xr:uid="{00000000-0005-0000-0000-000062000000}"/>
    <cellStyle name="Денежный 3 2 6 2 3" xfId="4500" xr:uid="{00000000-0005-0000-0000-000062000000}"/>
    <cellStyle name="Денежный 3 2 6 3" xfId="1787" xr:uid="{00000000-0005-0000-0000-000062000000}"/>
    <cellStyle name="Денежный 3 2 6 3 2" xfId="4782" xr:uid="{00000000-0005-0000-0000-000062000000}"/>
    <cellStyle name="Денежный 3 2 6 4" xfId="2896" xr:uid="{00000000-0005-0000-0000-000062000000}"/>
    <cellStyle name="Денежный 3 2 6 4 2" xfId="5890" xr:uid="{00000000-0005-0000-0000-000062000000}"/>
    <cellStyle name="Денежный 3 2 6 5" xfId="3707" xr:uid="{00000000-0005-0000-0000-000062000000}"/>
    <cellStyle name="Денежный 3 2 7" xfId="942" xr:uid="{00000000-0005-0000-0000-000062000000}"/>
    <cellStyle name="Денежный 3 2 7 2" xfId="1985" xr:uid="{00000000-0005-0000-0000-000062000000}"/>
    <cellStyle name="Денежный 3 2 7 2 2" xfId="4979" xr:uid="{00000000-0005-0000-0000-000062000000}"/>
    <cellStyle name="Денежный 3 2 7 3" xfId="2666" xr:uid="{00000000-0005-0000-0000-000062000000}"/>
    <cellStyle name="Денежный 3 2 7 3 2" xfId="5660" xr:uid="{00000000-0005-0000-0000-000062000000}"/>
    <cellStyle name="Денежный 3 2 7 4" xfId="3937" xr:uid="{00000000-0005-0000-0000-000062000000}"/>
    <cellStyle name="Денежный 3 2 8" xfId="1275" xr:uid="{00000000-0005-0000-0000-000062000000}"/>
    <cellStyle name="Денежный 3 2 8 2" xfId="2134" xr:uid="{00000000-0005-0000-0000-000062000000}"/>
    <cellStyle name="Денежный 3 2 8 2 2" xfId="5128" xr:uid="{00000000-0005-0000-0000-000062000000}"/>
    <cellStyle name="Денежный 3 2 8 3" xfId="4270" xr:uid="{00000000-0005-0000-0000-000062000000}"/>
    <cellStyle name="Денежный 3 2 9" xfId="1695" xr:uid="{00000000-0005-0000-0000-000062000000}"/>
    <cellStyle name="Денежный 3 2 9 2" xfId="4690" xr:uid="{00000000-0005-0000-0000-000062000000}"/>
    <cellStyle name="Денежный 3 3" xfId="256" xr:uid="{00000000-0005-0000-0000-00007A000000}"/>
    <cellStyle name="Денежный 3 3 10" xfId="2568" xr:uid="{00000000-0005-0000-0000-000062000000}"/>
    <cellStyle name="Денежный 3 3 10 2" xfId="5562" xr:uid="{00000000-0005-0000-0000-000062000000}"/>
    <cellStyle name="Денежный 3 3 11" xfId="3279" xr:uid="{00000000-0005-0000-0000-00007A000000}"/>
    <cellStyle name="Денежный 3 3 2" xfId="513" xr:uid="{00000000-0005-0000-0000-000062000000}"/>
    <cellStyle name="Денежный 3 3 2 2" xfId="851" xr:uid="{00000000-0005-0000-0000-000062000000}"/>
    <cellStyle name="Денежный 3 3 2 2 2" xfId="1205" xr:uid="{00000000-0005-0000-0000-000062000000}"/>
    <cellStyle name="Денежный 3 3 2 2 2 2" xfId="2085" xr:uid="{00000000-0005-0000-0000-000062000000}"/>
    <cellStyle name="Денежный 3 3 2 2 2 2 2" xfId="5079" xr:uid="{00000000-0005-0000-0000-000062000000}"/>
    <cellStyle name="Денежный 3 3 2 2 2 3" xfId="4200" xr:uid="{00000000-0005-0000-0000-000062000000}"/>
    <cellStyle name="Денежный 3 3 2 2 3" xfId="1645" xr:uid="{00000000-0005-0000-0000-000062000000}"/>
    <cellStyle name="Денежный 3 3 2 2 3 2" xfId="2345" xr:uid="{00000000-0005-0000-0000-000062000000}"/>
    <cellStyle name="Денежный 3 3 2 2 3 2 2" xfId="5339" xr:uid="{00000000-0005-0000-0000-000062000000}"/>
    <cellStyle name="Денежный 3 3 2 2 3 3" xfId="4640" xr:uid="{00000000-0005-0000-0000-000062000000}"/>
    <cellStyle name="Денежный 3 3 2 2 4" xfId="1906" xr:uid="{00000000-0005-0000-0000-000062000000}"/>
    <cellStyle name="Денежный 3 3 2 2 4 2" xfId="4901" xr:uid="{00000000-0005-0000-0000-000062000000}"/>
    <cellStyle name="Денежный 3 3 2 2 5" xfId="3036" xr:uid="{00000000-0005-0000-0000-000062000000}"/>
    <cellStyle name="Денежный 3 3 2 2 5 2" xfId="6030" xr:uid="{00000000-0005-0000-0000-000062000000}"/>
    <cellStyle name="Денежный 3 3 2 2 6" xfId="3847" xr:uid="{00000000-0005-0000-0000-000062000000}"/>
    <cellStyle name="Денежный 3 3 2 3" xfId="746" xr:uid="{00000000-0005-0000-0000-000062000000}"/>
    <cellStyle name="Денежный 3 3 2 3 2" xfId="1540" xr:uid="{00000000-0005-0000-0000-000062000000}"/>
    <cellStyle name="Денежный 3 3 2 3 2 2" xfId="2261" xr:uid="{00000000-0005-0000-0000-000062000000}"/>
    <cellStyle name="Денежный 3 3 2 3 2 2 2" xfId="5255" xr:uid="{00000000-0005-0000-0000-000062000000}"/>
    <cellStyle name="Денежный 3 3 2 3 2 3" xfId="4535" xr:uid="{00000000-0005-0000-0000-000062000000}"/>
    <cellStyle name="Денежный 3 3 2 3 3" xfId="1822" xr:uid="{00000000-0005-0000-0000-000062000000}"/>
    <cellStyle name="Денежный 3 3 2 3 3 2" xfId="4817" xr:uid="{00000000-0005-0000-0000-000062000000}"/>
    <cellStyle name="Денежный 3 3 2 3 4" xfId="2931" xr:uid="{00000000-0005-0000-0000-000062000000}"/>
    <cellStyle name="Денежный 3 3 2 3 4 2" xfId="5925" xr:uid="{00000000-0005-0000-0000-000062000000}"/>
    <cellStyle name="Денежный 3 3 2 3 5" xfId="3742" xr:uid="{00000000-0005-0000-0000-000062000000}"/>
    <cellStyle name="Денежный 3 3 2 4" xfId="946" xr:uid="{00000000-0005-0000-0000-000062000000}"/>
    <cellStyle name="Денежный 3 3 2 4 2" xfId="1988" xr:uid="{00000000-0005-0000-0000-000062000000}"/>
    <cellStyle name="Денежный 3 3 2 4 2 2" xfId="4982" xr:uid="{00000000-0005-0000-0000-000062000000}"/>
    <cellStyle name="Денежный 3 3 2 4 3" xfId="2701" xr:uid="{00000000-0005-0000-0000-000062000000}"/>
    <cellStyle name="Денежный 3 3 2 4 3 2" xfId="5695" xr:uid="{00000000-0005-0000-0000-000062000000}"/>
    <cellStyle name="Денежный 3 3 2 4 4" xfId="3941" xr:uid="{00000000-0005-0000-0000-000062000000}"/>
    <cellStyle name="Денежный 3 3 2 5" xfId="1310" xr:uid="{00000000-0005-0000-0000-000062000000}"/>
    <cellStyle name="Денежный 3 3 2 5 2" xfId="2169" xr:uid="{00000000-0005-0000-0000-000062000000}"/>
    <cellStyle name="Денежный 3 3 2 5 2 2" xfId="5163" xr:uid="{00000000-0005-0000-0000-000062000000}"/>
    <cellStyle name="Денежный 3 3 2 5 3" xfId="4305" xr:uid="{00000000-0005-0000-0000-000062000000}"/>
    <cellStyle name="Денежный 3 3 2 6" xfId="1730" xr:uid="{00000000-0005-0000-0000-000062000000}"/>
    <cellStyle name="Денежный 3 3 2 6 2" xfId="4725" xr:uid="{00000000-0005-0000-0000-000062000000}"/>
    <cellStyle name="Денежный 3 3 2 7" xfId="2596" xr:uid="{00000000-0005-0000-0000-000062000000}"/>
    <cellStyle name="Денежный 3 3 2 7 2" xfId="5590" xr:uid="{00000000-0005-0000-0000-000062000000}"/>
    <cellStyle name="Денежный 3 3 2 8" xfId="3512" xr:uid="{00000000-0005-0000-0000-000062000000}"/>
    <cellStyle name="Денежный 3 3 3" xfId="541" xr:uid="{00000000-0005-0000-0000-000062000000}"/>
    <cellStyle name="Денежный 3 3 3 2" xfId="879" xr:uid="{00000000-0005-0000-0000-000062000000}"/>
    <cellStyle name="Денежный 3 3 3 2 2" xfId="1233" xr:uid="{00000000-0005-0000-0000-000062000000}"/>
    <cellStyle name="Денежный 3 3 3 2 2 2" xfId="2113" xr:uid="{00000000-0005-0000-0000-000062000000}"/>
    <cellStyle name="Денежный 3 3 3 2 2 2 2" xfId="5107" xr:uid="{00000000-0005-0000-0000-000062000000}"/>
    <cellStyle name="Денежный 3 3 3 2 2 3" xfId="4228" xr:uid="{00000000-0005-0000-0000-000062000000}"/>
    <cellStyle name="Денежный 3 3 3 2 3" xfId="1673" xr:uid="{00000000-0005-0000-0000-000062000000}"/>
    <cellStyle name="Денежный 3 3 3 2 3 2" xfId="2373" xr:uid="{00000000-0005-0000-0000-000062000000}"/>
    <cellStyle name="Денежный 3 3 3 2 3 2 2" xfId="5367" xr:uid="{00000000-0005-0000-0000-000062000000}"/>
    <cellStyle name="Денежный 3 3 3 2 3 3" xfId="4668" xr:uid="{00000000-0005-0000-0000-000062000000}"/>
    <cellStyle name="Денежный 3 3 3 2 4" xfId="1934" xr:uid="{00000000-0005-0000-0000-000062000000}"/>
    <cellStyle name="Денежный 3 3 3 2 4 2" xfId="4929" xr:uid="{00000000-0005-0000-0000-000062000000}"/>
    <cellStyle name="Денежный 3 3 3 2 5" xfId="3064" xr:uid="{00000000-0005-0000-0000-000062000000}"/>
    <cellStyle name="Денежный 3 3 3 2 5 2" xfId="6058" xr:uid="{00000000-0005-0000-0000-000062000000}"/>
    <cellStyle name="Денежный 3 3 3 2 6" xfId="3875" xr:uid="{00000000-0005-0000-0000-000062000000}"/>
    <cellStyle name="Денежный 3 3 3 3" xfId="774" xr:uid="{00000000-0005-0000-0000-000062000000}"/>
    <cellStyle name="Денежный 3 3 3 3 2" xfId="1568" xr:uid="{00000000-0005-0000-0000-000062000000}"/>
    <cellStyle name="Денежный 3 3 3 3 2 2" xfId="2289" xr:uid="{00000000-0005-0000-0000-000062000000}"/>
    <cellStyle name="Денежный 3 3 3 3 2 2 2" xfId="5283" xr:uid="{00000000-0005-0000-0000-000062000000}"/>
    <cellStyle name="Денежный 3 3 3 3 2 3" xfId="4563" xr:uid="{00000000-0005-0000-0000-000062000000}"/>
    <cellStyle name="Денежный 3 3 3 3 3" xfId="1850" xr:uid="{00000000-0005-0000-0000-000062000000}"/>
    <cellStyle name="Денежный 3 3 3 3 3 2" xfId="4845" xr:uid="{00000000-0005-0000-0000-000062000000}"/>
    <cellStyle name="Денежный 3 3 3 3 4" xfId="2959" xr:uid="{00000000-0005-0000-0000-000062000000}"/>
    <cellStyle name="Денежный 3 3 3 3 4 2" xfId="5953" xr:uid="{00000000-0005-0000-0000-000062000000}"/>
    <cellStyle name="Денежный 3 3 3 3 5" xfId="3770" xr:uid="{00000000-0005-0000-0000-000062000000}"/>
    <cellStyle name="Денежный 3 3 3 4" xfId="984" xr:uid="{00000000-0005-0000-0000-000062000000}"/>
    <cellStyle name="Денежный 3 3 3 4 2" xfId="2019" xr:uid="{00000000-0005-0000-0000-000062000000}"/>
    <cellStyle name="Денежный 3 3 3 4 2 2" xfId="5013" xr:uid="{00000000-0005-0000-0000-000062000000}"/>
    <cellStyle name="Денежный 3 3 3 4 3" xfId="2729" xr:uid="{00000000-0005-0000-0000-000062000000}"/>
    <cellStyle name="Денежный 3 3 3 4 3 2" xfId="5723" xr:uid="{00000000-0005-0000-0000-000062000000}"/>
    <cellStyle name="Денежный 3 3 3 4 4" xfId="3979" xr:uid="{00000000-0005-0000-0000-000062000000}"/>
    <cellStyle name="Денежный 3 3 3 5" xfId="1338" xr:uid="{00000000-0005-0000-0000-000062000000}"/>
    <cellStyle name="Денежный 3 3 3 5 2" xfId="2197" xr:uid="{00000000-0005-0000-0000-000062000000}"/>
    <cellStyle name="Денежный 3 3 3 5 2 2" xfId="5191" xr:uid="{00000000-0005-0000-0000-000062000000}"/>
    <cellStyle name="Денежный 3 3 3 5 3" xfId="4333" xr:uid="{00000000-0005-0000-0000-000062000000}"/>
    <cellStyle name="Денежный 3 3 3 6" xfId="1758" xr:uid="{00000000-0005-0000-0000-000062000000}"/>
    <cellStyle name="Денежный 3 3 3 6 2" xfId="4753" xr:uid="{00000000-0005-0000-0000-000062000000}"/>
    <cellStyle name="Денежный 3 3 3 7" xfId="2624" xr:uid="{00000000-0005-0000-0000-000062000000}"/>
    <cellStyle name="Денежный 3 3 3 7 2" xfId="5618" xr:uid="{00000000-0005-0000-0000-000062000000}"/>
    <cellStyle name="Денежный 3 3 3 8" xfId="3540" xr:uid="{00000000-0005-0000-0000-000062000000}"/>
    <cellStyle name="Денежный 3 3 4" xfId="823" xr:uid="{00000000-0005-0000-0000-000062000000}"/>
    <cellStyle name="Денежный 3 3 4 2" xfId="1177" xr:uid="{00000000-0005-0000-0000-000062000000}"/>
    <cellStyle name="Денежный 3 3 4 2 2" xfId="2057" xr:uid="{00000000-0005-0000-0000-000062000000}"/>
    <cellStyle name="Денежный 3 3 4 2 2 2" xfId="5051" xr:uid="{00000000-0005-0000-0000-000062000000}"/>
    <cellStyle name="Денежный 3 3 4 2 3" xfId="4172" xr:uid="{00000000-0005-0000-0000-000062000000}"/>
    <cellStyle name="Денежный 3 3 4 3" xfId="1617" xr:uid="{00000000-0005-0000-0000-000062000000}"/>
    <cellStyle name="Денежный 3 3 4 3 2" xfId="2317" xr:uid="{00000000-0005-0000-0000-000062000000}"/>
    <cellStyle name="Денежный 3 3 4 3 2 2" xfId="5311" xr:uid="{00000000-0005-0000-0000-000062000000}"/>
    <cellStyle name="Денежный 3 3 4 3 3" xfId="4612" xr:uid="{00000000-0005-0000-0000-000062000000}"/>
    <cellStyle name="Денежный 3 3 4 4" xfId="1878" xr:uid="{00000000-0005-0000-0000-000062000000}"/>
    <cellStyle name="Денежный 3 3 4 4 2" xfId="4873" xr:uid="{00000000-0005-0000-0000-000062000000}"/>
    <cellStyle name="Денежный 3 3 4 5" xfId="3008" xr:uid="{00000000-0005-0000-0000-000062000000}"/>
    <cellStyle name="Денежный 3 3 4 5 2" xfId="6002" xr:uid="{00000000-0005-0000-0000-000062000000}"/>
    <cellStyle name="Денежный 3 3 4 6" xfId="3819" xr:uid="{00000000-0005-0000-0000-000062000000}"/>
    <cellStyle name="Денежный 3 3 5" xfId="717" xr:uid="{00000000-0005-0000-0000-000062000000}"/>
    <cellStyle name="Денежный 3 3 5 2" xfId="1512" xr:uid="{00000000-0005-0000-0000-000062000000}"/>
    <cellStyle name="Денежный 3 3 5 2 2" xfId="2233" xr:uid="{00000000-0005-0000-0000-000062000000}"/>
    <cellStyle name="Денежный 3 3 5 2 2 2" xfId="5227" xr:uid="{00000000-0005-0000-0000-000062000000}"/>
    <cellStyle name="Денежный 3 3 5 2 3" xfId="4507" xr:uid="{00000000-0005-0000-0000-000062000000}"/>
    <cellStyle name="Денежный 3 3 5 3" xfId="1794" xr:uid="{00000000-0005-0000-0000-000062000000}"/>
    <cellStyle name="Денежный 3 3 5 3 2" xfId="4789" xr:uid="{00000000-0005-0000-0000-000062000000}"/>
    <cellStyle name="Денежный 3 3 5 4" xfId="2903" xr:uid="{00000000-0005-0000-0000-000062000000}"/>
    <cellStyle name="Денежный 3 3 5 4 2" xfId="5897" xr:uid="{00000000-0005-0000-0000-000062000000}"/>
    <cellStyle name="Денежный 3 3 5 5" xfId="3714" xr:uid="{00000000-0005-0000-0000-000062000000}"/>
    <cellStyle name="Денежный 3 3 6" xfId="954" xr:uid="{00000000-0005-0000-0000-000062000000}"/>
    <cellStyle name="Денежный 3 3 6 2" xfId="1993" xr:uid="{00000000-0005-0000-0000-000062000000}"/>
    <cellStyle name="Денежный 3 3 6 2 2" xfId="4987" xr:uid="{00000000-0005-0000-0000-000062000000}"/>
    <cellStyle name="Денежный 3 3 6 3" xfId="2673" xr:uid="{00000000-0005-0000-0000-000062000000}"/>
    <cellStyle name="Денежный 3 3 6 3 2" xfId="5667" xr:uid="{00000000-0005-0000-0000-000062000000}"/>
    <cellStyle name="Денежный 3 3 6 4" xfId="3949" xr:uid="{00000000-0005-0000-0000-000062000000}"/>
    <cellStyle name="Денежный 3 3 7" xfId="1282" xr:uid="{00000000-0005-0000-0000-000062000000}"/>
    <cellStyle name="Денежный 3 3 7 2" xfId="2141" xr:uid="{00000000-0005-0000-0000-000062000000}"/>
    <cellStyle name="Денежный 3 3 7 2 2" xfId="5135" xr:uid="{00000000-0005-0000-0000-000062000000}"/>
    <cellStyle name="Денежный 3 3 7 3" xfId="4277" xr:uid="{00000000-0005-0000-0000-000062000000}"/>
    <cellStyle name="Денежный 3 3 8" xfId="1702" xr:uid="{00000000-0005-0000-0000-000062000000}"/>
    <cellStyle name="Денежный 3 3 8 2" xfId="4697" xr:uid="{00000000-0005-0000-0000-000062000000}"/>
    <cellStyle name="Денежный 3 3 9" xfId="483" xr:uid="{00000000-0005-0000-0000-000062000000}"/>
    <cellStyle name="Денежный 3 3 9 2" xfId="3484" xr:uid="{00000000-0005-0000-0000-000062000000}"/>
    <cellStyle name="Денежный 3 4" xfId="401" xr:uid="{00000000-0005-0000-0000-00007A000000}"/>
    <cellStyle name="Денежный 3 4 2" xfId="837" xr:uid="{00000000-0005-0000-0000-000062000000}"/>
    <cellStyle name="Денежный 3 4 2 2" xfId="1191" xr:uid="{00000000-0005-0000-0000-000062000000}"/>
    <cellStyle name="Денежный 3 4 2 2 2" xfId="2071" xr:uid="{00000000-0005-0000-0000-000062000000}"/>
    <cellStyle name="Денежный 3 4 2 2 2 2" xfId="5065" xr:uid="{00000000-0005-0000-0000-000062000000}"/>
    <cellStyle name="Денежный 3 4 2 2 3" xfId="4186" xr:uid="{00000000-0005-0000-0000-000062000000}"/>
    <cellStyle name="Денежный 3 4 2 3" xfId="1631" xr:uid="{00000000-0005-0000-0000-000062000000}"/>
    <cellStyle name="Денежный 3 4 2 3 2" xfId="2331" xr:uid="{00000000-0005-0000-0000-000062000000}"/>
    <cellStyle name="Денежный 3 4 2 3 2 2" xfId="5325" xr:uid="{00000000-0005-0000-0000-000062000000}"/>
    <cellStyle name="Денежный 3 4 2 3 3" xfId="4626" xr:uid="{00000000-0005-0000-0000-000062000000}"/>
    <cellStyle name="Денежный 3 4 2 4" xfId="1892" xr:uid="{00000000-0005-0000-0000-000062000000}"/>
    <cellStyle name="Денежный 3 4 2 4 2" xfId="4887" xr:uid="{00000000-0005-0000-0000-000062000000}"/>
    <cellStyle name="Денежный 3 4 2 5" xfId="3022" xr:uid="{00000000-0005-0000-0000-000062000000}"/>
    <cellStyle name="Денежный 3 4 2 5 2" xfId="6016" xr:uid="{00000000-0005-0000-0000-000062000000}"/>
    <cellStyle name="Денежный 3 4 2 6" xfId="3833" xr:uid="{00000000-0005-0000-0000-000062000000}"/>
    <cellStyle name="Денежный 3 4 3" xfId="731" xr:uid="{00000000-0005-0000-0000-000062000000}"/>
    <cellStyle name="Денежный 3 4 3 2" xfId="1526" xr:uid="{00000000-0005-0000-0000-000062000000}"/>
    <cellStyle name="Денежный 3 4 3 2 2" xfId="2247" xr:uid="{00000000-0005-0000-0000-000062000000}"/>
    <cellStyle name="Денежный 3 4 3 2 2 2" xfId="5241" xr:uid="{00000000-0005-0000-0000-000062000000}"/>
    <cellStyle name="Денежный 3 4 3 2 3" xfId="4521" xr:uid="{00000000-0005-0000-0000-000062000000}"/>
    <cellStyle name="Денежный 3 4 3 3" xfId="1808" xr:uid="{00000000-0005-0000-0000-000062000000}"/>
    <cellStyle name="Денежный 3 4 3 3 2" xfId="4803" xr:uid="{00000000-0005-0000-0000-000062000000}"/>
    <cellStyle name="Денежный 3 4 3 4" xfId="2917" xr:uid="{00000000-0005-0000-0000-000062000000}"/>
    <cellStyle name="Денежный 3 4 3 4 2" xfId="5911" xr:uid="{00000000-0005-0000-0000-000062000000}"/>
    <cellStyle name="Денежный 3 4 3 5" xfId="3728" xr:uid="{00000000-0005-0000-0000-000062000000}"/>
    <cellStyle name="Денежный 3 4 4" xfId="951" xr:uid="{00000000-0005-0000-0000-000062000000}"/>
    <cellStyle name="Денежный 3 4 4 2" xfId="1990" xr:uid="{00000000-0005-0000-0000-000062000000}"/>
    <cellStyle name="Денежный 3 4 4 2 2" xfId="4984" xr:uid="{00000000-0005-0000-0000-000062000000}"/>
    <cellStyle name="Денежный 3 4 4 3" xfId="2687" xr:uid="{00000000-0005-0000-0000-000062000000}"/>
    <cellStyle name="Денежный 3 4 4 3 2" xfId="5681" xr:uid="{00000000-0005-0000-0000-000062000000}"/>
    <cellStyle name="Денежный 3 4 4 4" xfId="3946" xr:uid="{00000000-0005-0000-0000-000062000000}"/>
    <cellStyle name="Денежный 3 4 5" xfId="1296" xr:uid="{00000000-0005-0000-0000-000062000000}"/>
    <cellStyle name="Денежный 3 4 5 2" xfId="2155" xr:uid="{00000000-0005-0000-0000-000062000000}"/>
    <cellStyle name="Денежный 3 4 5 2 2" xfId="5149" xr:uid="{00000000-0005-0000-0000-000062000000}"/>
    <cellStyle name="Денежный 3 4 5 3" xfId="4291" xr:uid="{00000000-0005-0000-0000-000062000000}"/>
    <cellStyle name="Денежный 3 4 6" xfId="1716" xr:uid="{00000000-0005-0000-0000-000062000000}"/>
    <cellStyle name="Денежный 3 4 6 2" xfId="4711" xr:uid="{00000000-0005-0000-0000-000062000000}"/>
    <cellStyle name="Денежный 3 4 7" xfId="497" xr:uid="{00000000-0005-0000-0000-000062000000}"/>
    <cellStyle name="Денежный 3 4 7 2" xfId="3498" xr:uid="{00000000-0005-0000-0000-000062000000}"/>
    <cellStyle name="Денежный 3 4 8" xfId="2582" xr:uid="{00000000-0005-0000-0000-000062000000}"/>
    <cellStyle name="Денежный 3 4 8 2" xfId="5576" xr:uid="{00000000-0005-0000-0000-000062000000}"/>
    <cellStyle name="Денежный 3 4 9" xfId="3424" xr:uid="{00000000-0005-0000-0000-00007A000000}"/>
    <cellStyle name="Денежный 3 5" xfId="527" xr:uid="{00000000-0005-0000-0000-000062000000}"/>
    <cellStyle name="Денежный 3 5 2" xfId="865" xr:uid="{00000000-0005-0000-0000-000062000000}"/>
    <cellStyle name="Денежный 3 5 2 2" xfId="1219" xr:uid="{00000000-0005-0000-0000-000062000000}"/>
    <cellStyle name="Денежный 3 5 2 2 2" xfId="2099" xr:uid="{00000000-0005-0000-0000-000062000000}"/>
    <cellStyle name="Денежный 3 5 2 2 2 2" xfId="5093" xr:uid="{00000000-0005-0000-0000-000062000000}"/>
    <cellStyle name="Денежный 3 5 2 2 3" xfId="4214" xr:uid="{00000000-0005-0000-0000-000062000000}"/>
    <cellStyle name="Денежный 3 5 2 3" xfId="1659" xr:uid="{00000000-0005-0000-0000-000062000000}"/>
    <cellStyle name="Денежный 3 5 2 3 2" xfId="2359" xr:uid="{00000000-0005-0000-0000-000062000000}"/>
    <cellStyle name="Денежный 3 5 2 3 2 2" xfId="5353" xr:uid="{00000000-0005-0000-0000-000062000000}"/>
    <cellStyle name="Денежный 3 5 2 3 3" xfId="4654" xr:uid="{00000000-0005-0000-0000-000062000000}"/>
    <cellStyle name="Денежный 3 5 2 4" xfId="1920" xr:uid="{00000000-0005-0000-0000-000062000000}"/>
    <cellStyle name="Денежный 3 5 2 4 2" xfId="4915" xr:uid="{00000000-0005-0000-0000-000062000000}"/>
    <cellStyle name="Денежный 3 5 2 5" xfId="3050" xr:uid="{00000000-0005-0000-0000-000062000000}"/>
    <cellStyle name="Денежный 3 5 2 5 2" xfId="6044" xr:uid="{00000000-0005-0000-0000-000062000000}"/>
    <cellStyle name="Денежный 3 5 2 6" xfId="3861" xr:uid="{00000000-0005-0000-0000-000062000000}"/>
    <cellStyle name="Денежный 3 5 3" xfId="760" xr:uid="{00000000-0005-0000-0000-000062000000}"/>
    <cellStyle name="Денежный 3 5 3 2" xfId="1554" xr:uid="{00000000-0005-0000-0000-000062000000}"/>
    <cellStyle name="Денежный 3 5 3 2 2" xfId="2275" xr:uid="{00000000-0005-0000-0000-000062000000}"/>
    <cellStyle name="Денежный 3 5 3 2 2 2" xfId="5269" xr:uid="{00000000-0005-0000-0000-000062000000}"/>
    <cellStyle name="Денежный 3 5 3 2 3" xfId="4549" xr:uid="{00000000-0005-0000-0000-000062000000}"/>
    <cellStyle name="Денежный 3 5 3 3" xfId="1836" xr:uid="{00000000-0005-0000-0000-000062000000}"/>
    <cellStyle name="Денежный 3 5 3 3 2" xfId="4831" xr:uid="{00000000-0005-0000-0000-000062000000}"/>
    <cellStyle name="Денежный 3 5 3 4" xfId="2945" xr:uid="{00000000-0005-0000-0000-000062000000}"/>
    <cellStyle name="Денежный 3 5 3 4 2" xfId="5939" xr:uid="{00000000-0005-0000-0000-000062000000}"/>
    <cellStyle name="Денежный 3 5 3 5" xfId="3756" xr:uid="{00000000-0005-0000-0000-000062000000}"/>
    <cellStyle name="Денежный 3 5 4" xfId="970" xr:uid="{00000000-0005-0000-0000-000062000000}"/>
    <cellStyle name="Денежный 3 5 4 2" xfId="2005" xr:uid="{00000000-0005-0000-0000-000062000000}"/>
    <cellStyle name="Денежный 3 5 4 2 2" xfId="4999" xr:uid="{00000000-0005-0000-0000-000062000000}"/>
    <cellStyle name="Денежный 3 5 4 3" xfId="2715" xr:uid="{00000000-0005-0000-0000-000062000000}"/>
    <cellStyle name="Денежный 3 5 4 3 2" xfId="5709" xr:uid="{00000000-0005-0000-0000-000062000000}"/>
    <cellStyle name="Денежный 3 5 4 4" xfId="3965" xr:uid="{00000000-0005-0000-0000-000062000000}"/>
    <cellStyle name="Денежный 3 5 5" xfId="1324" xr:uid="{00000000-0005-0000-0000-000062000000}"/>
    <cellStyle name="Денежный 3 5 5 2" xfId="2183" xr:uid="{00000000-0005-0000-0000-000062000000}"/>
    <cellStyle name="Денежный 3 5 5 2 2" xfId="5177" xr:uid="{00000000-0005-0000-0000-000062000000}"/>
    <cellStyle name="Денежный 3 5 5 3" xfId="4319" xr:uid="{00000000-0005-0000-0000-000062000000}"/>
    <cellStyle name="Денежный 3 5 6" xfId="1744" xr:uid="{00000000-0005-0000-0000-000062000000}"/>
    <cellStyle name="Денежный 3 5 6 2" xfId="4739" xr:uid="{00000000-0005-0000-0000-000062000000}"/>
    <cellStyle name="Денежный 3 5 7" xfId="2610" xr:uid="{00000000-0005-0000-0000-000062000000}"/>
    <cellStyle name="Денежный 3 5 7 2" xfId="5604" xr:uid="{00000000-0005-0000-0000-000062000000}"/>
    <cellStyle name="Денежный 3 5 8" xfId="3526" xr:uid="{00000000-0005-0000-0000-000062000000}"/>
    <cellStyle name="Денежный 3 6" xfId="702" xr:uid="{00000000-0005-0000-0000-000062000000}"/>
    <cellStyle name="Денежный 3 6 2" xfId="1133" xr:uid="{00000000-0005-0000-0000-000062000000}"/>
    <cellStyle name="Денежный 3 6 2 2" xfId="2034" xr:uid="{00000000-0005-0000-0000-000062000000}"/>
    <cellStyle name="Денежный 3 6 2 2 2" xfId="5028" xr:uid="{00000000-0005-0000-0000-000062000000}"/>
    <cellStyle name="Денежный 3 6 2 3" xfId="2888" xr:uid="{00000000-0005-0000-0000-000062000000}"/>
    <cellStyle name="Денежный 3 6 2 3 2" xfId="5882" xr:uid="{00000000-0005-0000-0000-000062000000}"/>
    <cellStyle name="Денежный 3 6 2 4" xfId="4128" xr:uid="{00000000-0005-0000-0000-000062000000}"/>
    <cellStyle name="Денежный 3 6 3" xfId="1497" xr:uid="{00000000-0005-0000-0000-000062000000}"/>
    <cellStyle name="Денежный 3 6 3 2" xfId="2219" xr:uid="{00000000-0005-0000-0000-000062000000}"/>
    <cellStyle name="Денежный 3 6 3 2 2" xfId="5213" xr:uid="{00000000-0005-0000-0000-000062000000}"/>
    <cellStyle name="Денежный 3 6 3 3" xfId="4492" xr:uid="{00000000-0005-0000-0000-000062000000}"/>
    <cellStyle name="Денежный 3 6 4" xfId="1780" xr:uid="{00000000-0005-0000-0000-000062000000}"/>
    <cellStyle name="Денежный 3 6 4 2" xfId="4775" xr:uid="{00000000-0005-0000-0000-000062000000}"/>
    <cellStyle name="Денежный 3 6 5" xfId="2553" xr:uid="{00000000-0005-0000-0000-000062000000}"/>
    <cellStyle name="Денежный 3 6 5 2" xfId="5547" xr:uid="{00000000-0005-0000-0000-000062000000}"/>
    <cellStyle name="Денежный 3 6 6" xfId="3699" xr:uid="{00000000-0005-0000-0000-000062000000}"/>
    <cellStyle name="Денежный 3 7" xfId="656" xr:uid="{00000000-0005-0000-0000-00007A000000}"/>
    <cellStyle name="Денежный 3 7 2" xfId="1094" xr:uid="{00000000-0005-0000-0000-00007A000000}"/>
    <cellStyle name="Денежный 3 7 2 2" xfId="2030" xr:uid="{00000000-0005-0000-0000-00007A000000}"/>
    <cellStyle name="Денежный 3 7 2 2 2" xfId="5024" xr:uid="{00000000-0005-0000-0000-00007A000000}"/>
    <cellStyle name="Денежный 3 7 2 3" xfId="2844" xr:uid="{00000000-0005-0000-0000-00007A000000}"/>
    <cellStyle name="Денежный 3 7 2 3 2" xfId="5838" xr:uid="{00000000-0005-0000-0000-00007A000000}"/>
    <cellStyle name="Денежный 3 7 2 4" xfId="4089" xr:uid="{00000000-0005-0000-0000-00007A000000}"/>
    <cellStyle name="Денежный 3 7 3" xfId="1453" xr:uid="{00000000-0005-0000-0000-00007A000000}"/>
    <cellStyle name="Денежный 3 7 3 2" xfId="2211" xr:uid="{00000000-0005-0000-0000-00007A000000}"/>
    <cellStyle name="Денежный 3 7 3 2 2" xfId="5205" xr:uid="{00000000-0005-0000-0000-00007A000000}"/>
    <cellStyle name="Денежный 3 7 3 3" xfId="4448" xr:uid="{00000000-0005-0000-0000-00007A000000}"/>
    <cellStyle name="Денежный 3 7 4" xfId="1772" xr:uid="{00000000-0005-0000-0000-00007A000000}"/>
    <cellStyle name="Денежный 3 7 4 2" xfId="4767" xr:uid="{00000000-0005-0000-0000-00007A000000}"/>
    <cellStyle name="Денежный 3 7 5" xfId="2508" xr:uid="{00000000-0005-0000-0000-00007A000000}"/>
    <cellStyle name="Денежный 3 7 5 2" xfId="5502" xr:uid="{00000000-0005-0000-0000-00007A000000}"/>
    <cellStyle name="Денежный 3 7 6" xfId="3655" xr:uid="{00000000-0005-0000-0000-00007A000000}"/>
    <cellStyle name="Денежный 3 8" xfId="808" xr:uid="{00000000-0005-0000-0000-000062000000}"/>
    <cellStyle name="Денежный 3 8 2" xfId="1162" xr:uid="{00000000-0005-0000-0000-000062000000}"/>
    <cellStyle name="Денежный 3 8 2 2" xfId="2043" xr:uid="{00000000-0005-0000-0000-000062000000}"/>
    <cellStyle name="Денежный 3 8 2 2 2" xfId="5037" xr:uid="{00000000-0005-0000-0000-000062000000}"/>
    <cellStyle name="Денежный 3 8 2 3" xfId="4157" xr:uid="{00000000-0005-0000-0000-000062000000}"/>
    <cellStyle name="Денежный 3 8 3" xfId="1602" xr:uid="{00000000-0005-0000-0000-000062000000}"/>
    <cellStyle name="Денежный 3 8 3 2" xfId="2303" xr:uid="{00000000-0005-0000-0000-000062000000}"/>
    <cellStyle name="Денежный 3 8 3 2 2" xfId="5297" xr:uid="{00000000-0005-0000-0000-000062000000}"/>
    <cellStyle name="Денежный 3 8 3 3" xfId="4597" xr:uid="{00000000-0005-0000-0000-000062000000}"/>
    <cellStyle name="Денежный 3 8 4" xfId="1864" xr:uid="{00000000-0005-0000-0000-000062000000}"/>
    <cellStyle name="Денежный 3 8 4 2" xfId="4859" xr:uid="{00000000-0005-0000-0000-000062000000}"/>
    <cellStyle name="Денежный 3 8 5" xfId="2993" xr:uid="{00000000-0005-0000-0000-000062000000}"/>
    <cellStyle name="Денежный 3 8 5 2" xfId="5987" xr:uid="{00000000-0005-0000-0000-000062000000}"/>
    <cellStyle name="Денежный 3 8 6" xfId="3804" xr:uid="{00000000-0005-0000-0000-000062000000}"/>
    <cellStyle name="Денежный 3 9" xfId="584" xr:uid="{00000000-0005-0000-0000-00007A000000}"/>
    <cellStyle name="Денежный 3 9 2" xfId="1381" xr:uid="{00000000-0005-0000-0000-00007A000000}"/>
    <cellStyle name="Денежный 3 9 2 2" xfId="2207" xr:uid="{00000000-0005-0000-0000-00007A000000}"/>
    <cellStyle name="Денежный 3 9 2 2 2" xfId="5201" xr:uid="{00000000-0005-0000-0000-00007A000000}"/>
    <cellStyle name="Денежный 3 9 2 3" xfId="4376" xr:uid="{00000000-0005-0000-0000-00007A000000}"/>
    <cellStyle name="Денежный 3 9 3" xfId="1768" xr:uid="{00000000-0005-0000-0000-00007A000000}"/>
    <cellStyle name="Денежный 3 9 3 2" xfId="4763" xr:uid="{00000000-0005-0000-0000-00007A000000}"/>
    <cellStyle name="Денежный 3 9 4" xfId="2772" xr:uid="{00000000-0005-0000-0000-00007A000000}"/>
    <cellStyle name="Денежный 3 9 4 2" xfId="5766" xr:uid="{00000000-0005-0000-0000-00007A000000}"/>
    <cellStyle name="Денежный 3 9 5" xfId="3583" xr:uid="{00000000-0005-0000-0000-00007A000000}"/>
    <cellStyle name="Денежный 4" xfId="129" xr:uid="{00000000-0005-0000-0000-00008F000000}"/>
    <cellStyle name="Денежный 4 10" xfId="1269" xr:uid="{00000000-0005-0000-0000-000080000000}"/>
    <cellStyle name="Денежный 4 10 2" xfId="2128" xr:uid="{00000000-0005-0000-0000-000080000000}"/>
    <cellStyle name="Денежный 4 10 2 2" xfId="5122" xr:uid="{00000000-0005-0000-0000-000080000000}"/>
    <cellStyle name="Денежный 4 10 3" xfId="4264" xr:uid="{00000000-0005-0000-0000-000080000000}"/>
    <cellStyle name="Денежный 4 11" xfId="1689" xr:uid="{00000000-0005-0000-0000-000080000000}"/>
    <cellStyle name="Денежный 4 11 2" xfId="4684" xr:uid="{00000000-0005-0000-0000-000080000000}"/>
    <cellStyle name="Денежный 4 12" xfId="470" xr:uid="{00000000-0005-0000-0000-000080000000}"/>
    <cellStyle name="Денежный 4 12 2" xfId="3471" xr:uid="{00000000-0005-0000-0000-000080000000}"/>
    <cellStyle name="Денежный 4 13" xfId="2454" xr:uid="{00000000-0005-0000-0000-00008F000000}"/>
    <cellStyle name="Денежный 4 13 2" xfId="5448" xr:uid="{00000000-0005-0000-0000-00008F000000}"/>
    <cellStyle name="Денежный 4 14" xfId="3152" xr:uid="{00000000-0005-0000-0000-00008F000000}"/>
    <cellStyle name="Денежный 4 2" xfId="202" xr:uid="{00000000-0005-0000-0000-00008F000000}"/>
    <cellStyle name="Денежный 4 2 10" xfId="2569" xr:uid="{00000000-0005-0000-0000-000080000000}"/>
    <cellStyle name="Денежный 4 2 10 2" xfId="5563" xr:uid="{00000000-0005-0000-0000-000080000000}"/>
    <cellStyle name="Денежный 4 2 11" xfId="3225" xr:uid="{00000000-0005-0000-0000-00008F000000}"/>
    <cellStyle name="Денежный 4 2 2" xfId="347" xr:uid="{00000000-0005-0000-0000-00008F000000}"/>
    <cellStyle name="Денежный 4 2 2 2" xfId="852" xr:uid="{00000000-0005-0000-0000-000080000000}"/>
    <cellStyle name="Денежный 4 2 2 2 2" xfId="1206" xr:uid="{00000000-0005-0000-0000-000080000000}"/>
    <cellStyle name="Денежный 4 2 2 2 2 2" xfId="2086" xr:uid="{00000000-0005-0000-0000-000080000000}"/>
    <cellStyle name="Денежный 4 2 2 2 2 2 2" xfId="5080" xr:uid="{00000000-0005-0000-0000-000080000000}"/>
    <cellStyle name="Денежный 4 2 2 2 2 3" xfId="4201" xr:uid="{00000000-0005-0000-0000-000080000000}"/>
    <cellStyle name="Денежный 4 2 2 2 3" xfId="1646" xr:uid="{00000000-0005-0000-0000-000080000000}"/>
    <cellStyle name="Денежный 4 2 2 2 3 2" xfId="2346" xr:uid="{00000000-0005-0000-0000-000080000000}"/>
    <cellStyle name="Денежный 4 2 2 2 3 2 2" xfId="5340" xr:uid="{00000000-0005-0000-0000-000080000000}"/>
    <cellStyle name="Денежный 4 2 2 2 3 3" xfId="4641" xr:uid="{00000000-0005-0000-0000-000080000000}"/>
    <cellStyle name="Денежный 4 2 2 2 4" xfId="1907" xr:uid="{00000000-0005-0000-0000-000080000000}"/>
    <cellStyle name="Денежный 4 2 2 2 4 2" xfId="4902" xr:uid="{00000000-0005-0000-0000-000080000000}"/>
    <cellStyle name="Денежный 4 2 2 2 5" xfId="3037" xr:uid="{00000000-0005-0000-0000-000080000000}"/>
    <cellStyle name="Денежный 4 2 2 2 5 2" xfId="6031" xr:uid="{00000000-0005-0000-0000-000080000000}"/>
    <cellStyle name="Денежный 4 2 2 2 6" xfId="3848" xr:uid="{00000000-0005-0000-0000-000080000000}"/>
    <cellStyle name="Денежный 4 2 2 3" xfId="747" xr:uid="{00000000-0005-0000-0000-000080000000}"/>
    <cellStyle name="Денежный 4 2 2 3 2" xfId="1541" xr:uid="{00000000-0005-0000-0000-000080000000}"/>
    <cellStyle name="Денежный 4 2 2 3 2 2" xfId="2262" xr:uid="{00000000-0005-0000-0000-000080000000}"/>
    <cellStyle name="Денежный 4 2 2 3 2 2 2" xfId="5256" xr:uid="{00000000-0005-0000-0000-000080000000}"/>
    <cellStyle name="Денежный 4 2 2 3 2 3" xfId="4536" xr:uid="{00000000-0005-0000-0000-000080000000}"/>
    <cellStyle name="Денежный 4 2 2 3 3" xfId="1823" xr:uid="{00000000-0005-0000-0000-000080000000}"/>
    <cellStyle name="Денежный 4 2 2 3 3 2" xfId="4818" xr:uid="{00000000-0005-0000-0000-000080000000}"/>
    <cellStyle name="Денежный 4 2 2 3 4" xfId="2932" xr:uid="{00000000-0005-0000-0000-000080000000}"/>
    <cellStyle name="Денежный 4 2 2 3 4 2" xfId="5926" xr:uid="{00000000-0005-0000-0000-000080000000}"/>
    <cellStyle name="Денежный 4 2 2 3 5" xfId="3743" xr:uid="{00000000-0005-0000-0000-000080000000}"/>
    <cellStyle name="Денежный 4 2 2 4" xfId="907" xr:uid="{00000000-0005-0000-0000-000080000000}"/>
    <cellStyle name="Денежный 4 2 2 4 2" xfId="1956" xr:uid="{00000000-0005-0000-0000-000080000000}"/>
    <cellStyle name="Денежный 4 2 2 4 2 2" xfId="4951" xr:uid="{00000000-0005-0000-0000-000080000000}"/>
    <cellStyle name="Денежный 4 2 2 4 3" xfId="2702" xr:uid="{00000000-0005-0000-0000-000080000000}"/>
    <cellStyle name="Денежный 4 2 2 4 3 2" xfId="5696" xr:uid="{00000000-0005-0000-0000-000080000000}"/>
    <cellStyle name="Денежный 4 2 2 4 4" xfId="3903" xr:uid="{00000000-0005-0000-0000-000080000000}"/>
    <cellStyle name="Денежный 4 2 2 5" xfId="1311" xr:uid="{00000000-0005-0000-0000-000080000000}"/>
    <cellStyle name="Денежный 4 2 2 5 2" xfId="2170" xr:uid="{00000000-0005-0000-0000-000080000000}"/>
    <cellStyle name="Денежный 4 2 2 5 2 2" xfId="5164" xr:uid="{00000000-0005-0000-0000-000080000000}"/>
    <cellStyle name="Денежный 4 2 2 5 3" xfId="4306" xr:uid="{00000000-0005-0000-0000-000080000000}"/>
    <cellStyle name="Денежный 4 2 2 6" xfId="1731" xr:uid="{00000000-0005-0000-0000-000080000000}"/>
    <cellStyle name="Денежный 4 2 2 6 2" xfId="4726" xr:uid="{00000000-0005-0000-0000-000080000000}"/>
    <cellStyle name="Денежный 4 2 2 7" xfId="514" xr:uid="{00000000-0005-0000-0000-000080000000}"/>
    <cellStyle name="Денежный 4 2 2 7 2" xfId="3513" xr:uid="{00000000-0005-0000-0000-000080000000}"/>
    <cellStyle name="Денежный 4 2 2 8" xfId="2597" xr:uid="{00000000-0005-0000-0000-000080000000}"/>
    <cellStyle name="Денежный 4 2 2 8 2" xfId="5591" xr:uid="{00000000-0005-0000-0000-000080000000}"/>
    <cellStyle name="Денежный 4 2 2 9" xfId="3370" xr:uid="{00000000-0005-0000-0000-00008F000000}"/>
    <cellStyle name="Денежный 4 2 3" xfId="542" xr:uid="{00000000-0005-0000-0000-000080000000}"/>
    <cellStyle name="Денежный 4 2 3 2" xfId="880" xr:uid="{00000000-0005-0000-0000-000080000000}"/>
    <cellStyle name="Денежный 4 2 3 2 2" xfId="1234" xr:uid="{00000000-0005-0000-0000-000080000000}"/>
    <cellStyle name="Денежный 4 2 3 2 2 2" xfId="2114" xr:uid="{00000000-0005-0000-0000-000080000000}"/>
    <cellStyle name="Денежный 4 2 3 2 2 2 2" xfId="5108" xr:uid="{00000000-0005-0000-0000-000080000000}"/>
    <cellStyle name="Денежный 4 2 3 2 2 3" xfId="4229" xr:uid="{00000000-0005-0000-0000-000080000000}"/>
    <cellStyle name="Денежный 4 2 3 2 3" xfId="1674" xr:uid="{00000000-0005-0000-0000-000080000000}"/>
    <cellStyle name="Денежный 4 2 3 2 3 2" xfId="2374" xr:uid="{00000000-0005-0000-0000-000080000000}"/>
    <cellStyle name="Денежный 4 2 3 2 3 2 2" xfId="5368" xr:uid="{00000000-0005-0000-0000-000080000000}"/>
    <cellStyle name="Денежный 4 2 3 2 3 3" xfId="4669" xr:uid="{00000000-0005-0000-0000-000080000000}"/>
    <cellStyle name="Денежный 4 2 3 2 4" xfId="1935" xr:uid="{00000000-0005-0000-0000-000080000000}"/>
    <cellStyle name="Денежный 4 2 3 2 4 2" xfId="4930" xr:uid="{00000000-0005-0000-0000-000080000000}"/>
    <cellStyle name="Денежный 4 2 3 2 5" xfId="3065" xr:uid="{00000000-0005-0000-0000-000080000000}"/>
    <cellStyle name="Денежный 4 2 3 2 5 2" xfId="6059" xr:uid="{00000000-0005-0000-0000-000080000000}"/>
    <cellStyle name="Денежный 4 2 3 2 6" xfId="3876" xr:uid="{00000000-0005-0000-0000-000080000000}"/>
    <cellStyle name="Денежный 4 2 3 3" xfId="775" xr:uid="{00000000-0005-0000-0000-000080000000}"/>
    <cellStyle name="Денежный 4 2 3 3 2" xfId="1569" xr:uid="{00000000-0005-0000-0000-000080000000}"/>
    <cellStyle name="Денежный 4 2 3 3 2 2" xfId="2290" xr:uid="{00000000-0005-0000-0000-000080000000}"/>
    <cellStyle name="Денежный 4 2 3 3 2 2 2" xfId="5284" xr:uid="{00000000-0005-0000-0000-000080000000}"/>
    <cellStyle name="Денежный 4 2 3 3 2 3" xfId="4564" xr:uid="{00000000-0005-0000-0000-000080000000}"/>
    <cellStyle name="Денежный 4 2 3 3 3" xfId="1851" xr:uid="{00000000-0005-0000-0000-000080000000}"/>
    <cellStyle name="Денежный 4 2 3 3 3 2" xfId="4846" xr:uid="{00000000-0005-0000-0000-000080000000}"/>
    <cellStyle name="Денежный 4 2 3 3 4" xfId="2960" xr:uid="{00000000-0005-0000-0000-000080000000}"/>
    <cellStyle name="Денежный 4 2 3 3 4 2" xfId="5954" xr:uid="{00000000-0005-0000-0000-000080000000}"/>
    <cellStyle name="Денежный 4 2 3 3 5" xfId="3771" xr:uid="{00000000-0005-0000-0000-000080000000}"/>
    <cellStyle name="Денежный 4 2 3 4" xfId="985" xr:uid="{00000000-0005-0000-0000-000080000000}"/>
    <cellStyle name="Денежный 4 2 3 4 2" xfId="2020" xr:uid="{00000000-0005-0000-0000-000080000000}"/>
    <cellStyle name="Денежный 4 2 3 4 2 2" xfId="5014" xr:uid="{00000000-0005-0000-0000-000080000000}"/>
    <cellStyle name="Денежный 4 2 3 4 3" xfId="2730" xr:uid="{00000000-0005-0000-0000-000080000000}"/>
    <cellStyle name="Денежный 4 2 3 4 3 2" xfId="5724" xr:uid="{00000000-0005-0000-0000-000080000000}"/>
    <cellStyle name="Денежный 4 2 3 4 4" xfId="3980" xr:uid="{00000000-0005-0000-0000-000080000000}"/>
    <cellStyle name="Денежный 4 2 3 5" xfId="1339" xr:uid="{00000000-0005-0000-0000-000080000000}"/>
    <cellStyle name="Денежный 4 2 3 5 2" xfId="2198" xr:uid="{00000000-0005-0000-0000-000080000000}"/>
    <cellStyle name="Денежный 4 2 3 5 2 2" xfId="5192" xr:uid="{00000000-0005-0000-0000-000080000000}"/>
    <cellStyle name="Денежный 4 2 3 5 3" xfId="4334" xr:uid="{00000000-0005-0000-0000-000080000000}"/>
    <cellStyle name="Денежный 4 2 3 6" xfId="1759" xr:uid="{00000000-0005-0000-0000-000080000000}"/>
    <cellStyle name="Денежный 4 2 3 6 2" xfId="4754" xr:uid="{00000000-0005-0000-0000-000080000000}"/>
    <cellStyle name="Денежный 4 2 3 7" xfId="2625" xr:uid="{00000000-0005-0000-0000-000080000000}"/>
    <cellStyle name="Денежный 4 2 3 7 2" xfId="5619" xr:uid="{00000000-0005-0000-0000-000080000000}"/>
    <cellStyle name="Денежный 4 2 3 8" xfId="3541" xr:uid="{00000000-0005-0000-0000-000080000000}"/>
    <cellStyle name="Денежный 4 2 4" xfId="824" xr:uid="{00000000-0005-0000-0000-000080000000}"/>
    <cellStyle name="Денежный 4 2 4 2" xfId="1178" xr:uid="{00000000-0005-0000-0000-000080000000}"/>
    <cellStyle name="Денежный 4 2 4 2 2" xfId="2058" xr:uid="{00000000-0005-0000-0000-000080000000}"/>
    <cellStyle name="Денежный 4 2 4 2 2 2" xfId="5052" xr:uid="{00000000-0005-0000-0000-000080000000}"/>
    <cellStyle name="Денежный 4 2 4 2 3" xfId="4173" xr:uid="{00000000-0005-0000-0000-000080000000}"/>
    <cellStyle name="Денежный 4 2 4 3" xfId="1618" xr:uid="{00000000-0005-0000-0000-000080000000}"/>
    <cellStyle name="Денежный 4 2 4 3 2" xfId="2318" xr:uid="{00000000-0005-0000-0000-000080000000}"/>
    <cellStyle name="Денежный 4 2 4 3 2 2" xfId="5312" xr:uid="{00000000-0005-0000-0000-000080000000}"/>
    <cellStyle name="Денежный 4 2 4 3 3" xfId="4613" xr:uid="{00000000-0005-0000-0000-000080000000}"/>
    <cellStyle name="Денежный 4 2 4 4" xfId="1879" xr:uid="{00000000-0005-0000-0000-000080000000}"/>
    <cellStyle name="Денежный 4 2 4 4 2" xfId="4874" xr:uid="{00000000-0005-0000-0000-000080000000}"/>
    <cellStyle name="Денежный 4 2 4 5" xfId="3009" xr:uid="{00000000-0005-0000-0000-000080000000}"/>
    <cellStyle name="Денежный 4 2 4 5 2" xfId="6003" xr:uid="{00000000-0005-0000-0000-000080000000}"/>
    <cellStyle name="Денежный 4 2 4 6" xfId="3820" xr:uid="{00000000-0005-0000-0000-000080000000}"/>
    <cellStyle name="Денежный 4 2 5" xfId="718" xr:uid="{00000000-0005-0000-0000-000080000000}"/>
    <cellStyle name="Денежный 4 2 5 2" xfId="1513" xr:uid="{00000000-0005-0000-0000-000080000000}"/>
    <cellStyle name="Денежный 4 2 5 2 2" xfId="2234" xr:uid="{00000000-0005-0000-0000-000080000000}"/>
    <cellStyle name="Денежный 4 2 5 2 2 2" xfId="5228" xr:uid="{00000000-0005-0000-0000-000080000000}"/>
    <cellStyle name="Денежный 4 2 5 2 3" xfId="4508" xr:uid="{00000000-0005-0000-0000-000080000000}"/>
    <cellStyle name="Денежный 4 2 5 3" xfId="1795" xr:uid="{00000000-0005-0000-0000-000080000000}"/>
    <cellStyle name="Денежный 4 2 5 3 2" xfId="4790" xr:uid="{00000000-0005-0000-0000-000080000000}"/>
    <cellStyle name="Денежный 4 2 5 4" xfId="2904" xr:uid="{00000000-0005-0000-0000-000080000000}"/>
    <cellStyle name="Денежный 4 2 5 4 2" xfId="5898" xr:uid="{00000000-0005-0000-0000-000080000000}"/>
    <cellStyle name="Денежный 4 2 5 5" xfId="3715" xr:uid="{00000000-0005-0000-0000-000080000000}"/>
    <cellStyle name="Денежный 4 2 6" xfId="895" xr:uid="{00000000-0005-0000-0000-000080000000}"/>
    <cellStyle name="Денежный 4 2 6 2" xfId="1947" xr:uid="{00000000-0005-0000-0000-000080000000}"/>
    <cellStyle name="Денежный 4 2 6 2 2" xfId="4942" xr:uid="{00000000-0005-0000-0000-000080000000}"/>
    <cellStyle name="Денежный 4 2 6 3" xfId="2674" xr:uid="{00000000-0005-0000-0000-000080000000}"/>
    <cellStyle name="Денежный 4 2 6 3 2" xfId="5668" xr:uid="{00000000-0005-0000-0000-000080000000}"/>
    <cellStyle name="Денежный 4 2 6 4" xfId="3891" xr:uid="{00000000-0005-0000-0000-000080000000}"/>
    <cellStyle name="Денежный 4 2 7" xfId="1283" xr:uid="{00000000-0005-0000-0000-000080000000}"/>
    <cellStyle name="Денежный 4 2 7 2" xfId="2142" xr:uid="{00000000-0005-0000-0000-000080000000}"/>
    <cellStyle name="Денежный 4 2 7 2 2" xfId="5136" xr:uid="{00000000-0005-0000-0000-000080000000}"/>
    <cellStyle name="Денежный 4 2 7 3" xfId="4278" xr:uid="{00000000-0005-0000-0000-000080000000}"/>
    <cellStyle name="Денежный 4 2 8" xfId="1703" xr:uid="{00000000-0005-0000-0000-000080000000}"/>
    <cellStyle name="Денежный 4 2 8 2" xfId="4698" xr:uid="{00000000-0005-0000-0000-000080000000}"/>
    <cellStyle name="Денежный 4 2 9" xfId="484" xr:uid="{00000000-0005-0000-0000-000080000000}"/>
    <cellStyle name="Денежный 4 2 9 2" xfId="3485" xr:uid="{00000000-0005-0000-0000-000080000000}"/>
    <cellStyle name="Денежный 4 3" xfId="274" xr:uid="{00000000-0005-0000-0000-00008F000000}"/>
    <cellStyle name="Денежный 4 3 2" xfId="838" xr:uid="{00000000-0005-0000-0000-000080000000}"/>
    <cellStyle name="Денежный 4 3 2 2" xfId="1192" xr:uid="{00000000-0005-0000-0000-000080000000}"/>
    <cellStyle name="Денежный 4 3 2 2 2" xfId="2072" xr:uid="{00000000-0005-0000-0000-000080000000}"/>
    <cellStyle name="Денежный 4 3 2 2 2 2" xfId="5066" xr:uid="{00000000-0005-0000-0000-000080000000}"/>
    <cellStyle name="Денежный 4 3 2 2 3" xfId="4187" xr:uid="{00000000-0005-0000-0000-000080000000}"/>
    <cellStyle name="Денежный 4 3 2 3" xfId="1632" xr:uid="{00000000-0005-0000-0000-000080000000}"/>
    <cellStyle name="Денежный 4 3 2 3 2" xfId="2332" xr:uid="{00000000-0005-0000-0000-000080000000}"/>
    <cellStyle name="Денежный 4 3 2 3 2 2" xfId="5326" xr:uid="{00000000-0005-0000-0000-000080000000}"/>
    <cellStyle name="Денежный 4 3 2 3 3" xfId="4627" xr:uid="{00000000-0005-0000-0000-000080000000}"/>
    <cellStyle name="Денежный 4 3 2 4" xfId="1893" xr:uid="{00000000-0005-0000-0000-000080000000}"/>
    <cellStyle name="Денежный 4 3 2 4 2" xfId="4888" xr:uid="{00000000-0005-0000-0000-000080000000}"/>
    <cellStyle name="Денежный 4 3 2 5" xfId="3023" xr:uid="{00000000-0005-0000-0000-000080000000}"/>
    <cellStyle name="Денежный 4 3 2 5 2" xfId="6017" xr:uid="{00000000-0005-0000-0000-000080000000}"/>
    <cellStyle name="Денежный 4 3 2 6" xfId="3834" xr:uid="{00000000-0005-0000-0000-000080000000}"/>
    <cellStyle name="Денежный 4 3 3" xfId="732" xr:uid="{00000000-0005-0000-0000-000080000000}"/>
    <cellStyle name="Денежный 4 3 3 2" xfId="1527" xr:uid="{00000000-0005-0000-0000-000080000000}"/>
    <cellStyle name="Денежный 4 3 3 2 2" xfId="2248" xr:uid="{00000000-0005-0000-0000-000080000000}"/>
    <cellStyle name="Денежный 4 3 3 2 2 2" xfId="5242" xr:uid="{00000000-0005-0000-0000-000080000000}"/>
    <cellStyle name="Денежный 4 3 3 2 3" xfId="4522" xr:uid="{00000000-0005-0000-0000-000080000000}"/>
    <cellStyle name="Денежный 4 3 3 3" xfId="1809" xr:uid="{00000000-0005-0000-0000-000080000000}"/>
    <cellStyle name="Денежный 4 3 3 3 2" xfId="4804" xr:uid="{00000000-0005-0000-0000-000080000000}"/>
    <cellStyle name="Денежный 4 3 3 4" xfId="2918" xr:uid="{00000000-0005-0000-0000-000080000000}"/>
    <cellStyle name="Денежный 4 3 3 4 2" xfId="5912" xr:uid="{00000000-0005-0000-0000-000080000000}"/>
    <cellStyle name="Денежный 4 3 3 5" xfId="3729" xr:uid="{00000000-0005-0000-0000-000080000000}"/>
    <cellStyle name="Денежный 4 3 4" xfId="959" xr:uid="{00000000-0005-0000-0000-000080000000}"/>
    <cellStyle name="Денежный 4 3 4 2" xfId="1997" xr:uid="{00000000-0005-0000-0000-000080000000}"/>
    <cellStyle name="Денежный 4 3 4 2 2" xfId="4991" xr:uid="{00000000-0005-0000-0000-000080000000}"/>
    <cellStyle name="Денежный 4 3 4 3" xfId="2688" xr:uid="{00000000-0005-0000-0000-000080000000}"/>
    <cellStyle name="Денежный 4 3 4 3 2" xfId="5682" xr:uid="{00000000-0005-0000-0000-000080000000}"/>
    <cellStyle name="Денежный 4 3 4 4" xfId="3954" xr:uid="{00000000-0005-0000-0000-000080000000}"/>
    <cellStyle name="Денежный 4 3 5" xfId="1297" xr:uid="{00000000-0005-0000-0000-000080000000}"/>
    <cellStyle name="Денежный 4 3 5 2" xfId="2156" xr:uid="{00000000-0005-0000-0000-000080000000}"/>
    <cellStyle name="Денежный 4 3 5 2 2" xfId="5150" xr:uid="{00000000-0005-0000-0000-000080000000}"/>
    <cellStyle name="Денежный 4 3 5 3" xfId="4292" xr:uid="{00000000-0005-0000-0000-000080000000}"/>
    <cellStyle name="Денежный 4 3 6" xfId="1717" xr:uid="{00000000-0005-0000-0000-000080000000}"/>
    <cellStyle name="Денежный 4 3 6 2" xfId="4712" xr:uid="{00000000-0005-0000-0000-000080000000}"/>
    <cellStyle name="Денежный 4 3 7" xfId="498" xr:uid="{00000000-0005-0000-0000-000080000000}"/>
    <cellStyle name="Денежный 4 3 7 2" xfId="3499" xr:uid="{00000000-0005-0000-0000-000080000000}"/>
    <cellStyle name="Денежный 4 3 8" xfId="2583" xr:uid="{00000000-0005-0000-0000-000080000000}"/>
    <cellStyle name="Денежный 4 3 8 2" xfId="5577" xr:uid="{00000000-0005-0000-0000-000080000000}"/>
    <cellStyle name="Денежный 4 3 9" xfId="3297" xr:uid="{00000000-0005-0000-0000-00008F000000}"/>
    <cellStyle name="Денежный 4 4" xfId="419" xr:uid="{00000000-0005-0000-0000-00008F000000}"/>
    <cellStyle name="Денежный 4 4 2" xfId="866" xr:uid="{00000000-0005-0000-0000-000080000000}"/>
    <cellStyle name="Денежный 4 4 2 2" xfId="1220" xr:uid="{00000000-0005-0000-0000-000080000000}"/>
    <cellStyle name="Денежный 4 4 2 2 2" xfId="2100" xr:uid="{00000000-0005-0000-0000-000080000000}"/>
    <cellStyle name="Денежный 4 4 2 2 2 2" xfId="5094" xr:uid="{00000000-0005-0000-0000-000080000000}"/>
    <cellStyle name="Денежный 4 4 2 2 3" xfId="4215" xr:uid="{00000000-0005-0000-0000-000080000000}"/>
    <cellStyle name="Денежный 4 4 2 3" xfId="1660" xr:uid="{00000000-0005-0000-0000-000080000000}"/>
    <cellStyle name="Денежный 4 4 2 3 2" xfId="2360" xr:uid="{00000000-0005-0000-0000-000080000000}"/>
    <cellStyle name="Денежный 4 4 2 3 2 2" xfId="5354" xr:uid="{00000000-0005-0000-0000-000080000000}"/>
    <cellStyle name="Денежный 4 4 2 3 3" xfId="4655" xr:uid="{00000000-0005-0000-0000-000080000000}"/>
    <cellStyle name="Денежный 4 4 2 4" xfId="1921" xr:uid="{00000000-0005-0000-0000-000080000000}"/>
    <cellStyle name="Денежный 4 4 2 4 2" xfId="4916" xr:uid="{00000000-0005-0000-0000-000080000000}"/>
    <cellStyle name="Денежный 4 4 2 5" xfId="3051" xr:uid="{00000000-0005-0000-0000-000080000000}"/>
    <cellStyle name="Денежный 4 4 2 5 2" xfId="6045" xr:uid="{00000000-0005-0000-0000-000080000000}"/>
    <cellStyle name="Денежный 4 4 2 6" xfId="3862" xr:uid="{00000000-0005-0000-0000-000080000000}"/>
    <cellStyle name="Денежный 4 4 3" xfId="761" xr:uid="{00000000-0005-0000-0000-000080000000}"/>
    <cellStyle name="Денежный 4 4 3 2" xfId="1555" xr:uid="{00000000-0005-0000-0000-000080000000}"/>
    <cellStyle name="Денежный 4 4 3 2 2" xfId="2276" xr:uid="{00000000-0005-0000-0000-000080000000}"/>
    <cellStyle name="Денежный 4 4 3 2 2 2" xfId="5270" xr:uid="{00000000-0005-0000-0000-000080000000}"/>
    <cellStyle name="Денежный 4 4 3 2 3" xfId="4550" xr:uid="{00000000-0005-0000-0000-000080000000}"/>
    <cellStyle name="Денежный 4 4 3 3" xfId="1837" xr:uid="{00000000-0005-0000-0000-000080000000}"/>
    <cellStyle name="Денежный 4 4 3 3 2" xfId="4832" xr:uid="{00000000-0005-0000-0000-000080000000}"/>
    <cellStyle name="Денежный 4 4 3 4" xfId="2946" xr:uid="{00000000-0005-0000-0000-000080000000}"/>
    <cellStyle name="Денежный 4 4 3 4 2" xfId="5940" xr:uid="{00000000-0005-0000-0000-000080000000}"/>
    <cellStyle name="Денежный 4 4 3 5" xfId="3757" xr:uid="{00000000-0005-0000-0000-000080000000}"/>
    <cellStyle name="Денежный 4 4 4" xfId="971" xr:uid="{00000000-0005-0000-0000-000080000000}"/>
    <cellStyle name="Денежный 4 4 4 2" xfId="2006" xr:uid="{00000000-0005-0000-0000-000080000000}"/>
    <cellStyle name="Денежный 4 4 4 2 2" xfId="5000" xr:uid="{00000000-0005-0000-0000-000080000000}"/>
    <cellStyle name="Денежный 4 4 4 3" xfId="2716" xr:uid="{00000000-0005-0000-0000-000080000000}"/>
    <cellStyle name="Денежный 4 4 4 3 2" xfId="5710" xr:uid="{00000000-0005-0000-0000-000080000000}"/>
    <cellStyle name="Денежный 4 4 4 4" xfId="3966" xr:uid="{00000000-0005-0000-0000-000080000000}"/>
    <cellStyle name="Денежный 4 4 5" xfId="1325" xr:uid="{00000000-0005-0000-0000-000080000000}"/>
    <cellStyle name="Денежный 4 4 5 2" xfId="2184" xr:uid="{00000000-0005-0000-0000-000080000000}"/>
    <cellStyle name="Денежный 4 4 5 2 2" xfId="5178" xr:uid="{00000000-0005-0000-0000-000080000000}"/>
    <cellStyle name="Денежный 4 4 5 3" xfId="4320" xr:uid="{00000000-0005-0000-0000-000080000000}"/>
    <cellStyle name="Денежный 4 4 6" xfId="1745" xr:uid="{00000000-0005-0000-0000-000080000000}"/>
    <cellStyle name="Денежный 4 4 6 2" xfId="4740" xr:uid="{00000000-0005-0000-0000-000080000000}"/>
    <cellStyle name="Денежный 4 4 7" xfId="528" xr:uid="{00000000-0005-0000-0000-000080000000}"/>
    <cellStyle name="Денежный 4 4 7 2" xfId="3527" xr:uid="{00000000-0005-0000-0000-000080000000}"/>
    <cellStyle name="Денежный 4 4 8" xfId="2611" xr:uid="{00000000-0005-0000-0000-000080000000}"/>
    <cellStyle name="Денежный 4 4 8 2" xfId="5605" xr:uid="{00000000-0005-0000-0000-000080000000}"/>
    <cellStyle name="Денежный 4 4 9" xfId="3442" xr:uid="{00000000-0005-0000-0000-00008F000000}"/>
    <cellStyle name="Денежный 4 5" xfId="704" xr:uid="{00000000-0005-0000-0000-000080000000}"/>
    <cellStyle name="Денежный 4 5 2" xfId="1135" xr:uid="{00000000-0005-0000-0000-000080000000}"/>
    <cellStyle name="Денежный 4 5 2 2" xfId="2035" xr:uid="{00000000-0005-0000-0000-000080000000}"/>
    <cellStyle name="Денежный 4 5 2 2 2" xfId="5029" xr:uid="{00000000-0005-0000-0000-000080000000}"/>
    <cellStyle name="Денежный 4 5 2 3" xfId="2890" xr:uid="{00000000-0005-0000-0000-000080000000}"/>
    <cellStyle name="Денежный 4 5 2 3 2" xfId="5884" xr:uid="{00000000-0005-0000-0000-000080000000}"/>
    <cellStyle name="Денежный 4 5 2 4" xfId="4130" xr:uid="{00000000-0005-0000-0000-000080000000}"/>
    <cellStyle name="Денежный 4 5 3" xfId="1499" xr:uid="{00000000-0005-0000-0000-000080000000}"/>
    <cellStyle name="Денежный 4 5 3 2" xfId="2220" xr:uid="{00000000-0005-0000-0000-000080000000}"/>
    <cellStyle name="Денежный 4 5 3 2 2" xfId="5214" xr:uid="{00000000-0005-0000-0000-000080000000}"/>
    <cellStyle name="Денежный 4 5 3 3" xfId="4494" xr:uid="{00000000-0005-0000-0000-000080000000}"/>
    <cellStyle name="Денежный 4 5 4" xfId="1781" xr:uid="{00000000-0005-0000-0000-000080000000}"/>
    <cellStyle name="Денежный 4 5 4 2" xfId="4776" xr:uid="{00000000-0005-0000-0000-000080000000}"/>
    <cellStyle name="Денежный 4 5 5" xfId="2555" xr:uid="{00000000-0005-0000-0000-000080000000}"/>
    <cellStyle name="Денежный 4 5 5 2" xfId="5549" xr:uid="{00000000-0005-0000-0000-000080000000}"/>
    <cellStyle name="Денежный 4 5 6" xfId="3701" xr:uid="{00000000-0005-0000-0000-000080000000}"/>
    <cellStyle name="Денежный 4 6" xfId="674" xr:uid="{00000000-0005-0000-0000-00008F000000}"/>
    <cellStyle name="Денежный 4 6 2" xfId="1112" xr:uid="{00000000-0005-0000-0000-00008F000000}"/>
    <cellStyle name="Денежный 4 6 2 2" xfId="2031" xr:uid="{00000000-0005-0000-0000-00008F000000}"/>
    <cellStyle name="Денежный 4 6 2 2 2" xfId="5025" xr:uid="{00000000-0005-0000-0000-00008F000000}"/>
    <cellStyle name="Денежный 4 6 2 3" xfId="2862" xr:uid="{00000000-0005-0000-0000-00008F000000}"/>
    <cellStyle name="Денежный 4 6 2 3 2" xfId="5856" xr:uid="{00000000-0005-0000-0000-00008F000000}"/>
    <cellStyle name="Денежный 4 6 2 4" xfId="4107" xr:uid="{00000000-0005-0000-0000-00008F000000}"/>
    <cellStyle name="Денежный 4 6 3" xfId="1471" xr:uid="{00000000-0005-0000-0000-00008F000000}"/>
    <cellStyle name="Денежный 4 6 3 2" xfId="2212" xr:uid="{00000000-0005-0000-0000-00008F000000}"/>
    <cellStyle name="Денежный 4 6 3 2 2" xfId="5206" xr:uid="{00000000-0005-0000-0000-00008F000000}"/>
    <cellStyle name="Денежный 4 6 3 3" xfId="4466" xr:uid="{00000000-0005-0000-0000-00008F000000}"/>
    <cellStyle name="Денежный 4 6 4" xfId="1773" xr:uid="{00000000-0005-0000-0000-00008F000000}"/>
    <cellStyle name="Денежный 4 6 4 2" xfId="4768" xr:uid="{00000000-0005-0000-0000-00008F000000}"/>
    <cellStyle name="Денежный 4 6 5" xfId="2526" xr:uid="{00000000-0005-0000-0000-00008F000000}"/>
    <cellStyle name="Денежный 4 6 5 2" xfId="5520" xr:uid="{00000000-0005-0000-0000-00008F000000}"/>
    <cellStyle name="Денежный 4 6 6" xfId="3673" xr:uid="{00000000-0005-0000-0000-00008F000000}"/>
    <cellStyle name="Денежный 4 7" xfId="810" xr:uid="{00000000-0005-0000-0000-000080000000}"/>
    <cellStyle name="Денежный 4 7 2" xfId="1164" xr:uid="{00000000-0005-0000-0000-000080000000}"/>
    <cellStyle name="Денежный 4 7 2 2" xfId="2044" xr:uid="{00000000-0005-0000-0000-000080000000}"/>
    <cellStyle name="Денежный 4 7 2 2 2" xfId="5038" xr:uid="{00000000-0005-0000-0000-000080000000}"/>
    <cellStyle name="Денежный 4 7 2 3" xfId="4159" xr:uid="{00000000-0005-0000-0000-000080000000}"/>
    <cellStyle name="Денежный 4 7 3" xfId="1604" xr:uid="{00000000-0005-0000-0000-000080000000}"/>
    <cellStyle name="Денежный 4 7 3 2" xfId="2304" xr:uid="{00000000-0005-0000-0000-000080000000}"/>
    <cellStyle name="Денежный 4 7 3 2 2" xfId="5298" xr:uid="{00000000-0005-0000-0000-000080000000}"/>
    <cellStyle name="Денежный 4 7 3 3" xfId="4599" xr:uid="{00000000-0005-0000-0000-000080000000}"/>
    <cellStyle name="Денежный 4 7 4" xfId="1865" xr:uid="{00000000-0005-0000-0000-000080000000}"/>
    <cellStyle name="Денежный 4 7 4 2" xfId="4860" xr:uid="{00000000-0005-0000-0000-000080000000}"/>
    <cellStyle name="Денежный 4 7 5" xfId="2995" xr:uid="{00000000-0005-0000-0000-000080000000}"/>
    <cellStyle name="Денежный 4 7 5 2" xfId="5989" xr:uid="{00000000-0005-0000-0000-000080000000}"/>
    <cellStyle name="Денежный 4 7 6" xfId="3806" xr:uid="{00000000-0005-0000-0000-000080000000}"/>
    <cellStyle name="Денежный 4 8" xfId="602" xr:uid="{00000000-0005-0000-0000-00008F000000}"/>
    <cellStyle name="Денежный 4 8 2" xfId="1399" xr:uid="{00000000-0005-0000-0000-00008F000000}"/>
    <cellStyle name="Денежный 4 8 2 2" xfId="2208" xr:uid="{00000000-0005-0000-0000-00008F000000}"/>
    <cellStyle name="Денежный 4 8 2 2 2" xfId="5202" xr:uid="{00000000-0005-0000-0000-00008F000000}"/>
    <cellStyle name="Денежный 4 8 2 3" xfId="4394" xr:uid="{00000000-0005-0000-0000-00008F000000}"/>
    <cellStyle name="Денежный 4 8 3" xfId="1769" xr:uid="{00000000-0005-0000-0000-00008F000000}"/>
    <cellStyle name="Денежный 4 8 3 2" xfId="4764" xr:uid="{00000000-0005-0000-0000-00008F000000}"/>
    <cellStyle name="Денежный 4 8 4" xfId="2790" xr:uid="{00000000-0005-0000-0000-00008F000000}"/>
    <cellStyle name="Денежный 4 8 4 2" xfId="5784" xr:uid="{00000000-0005-0000-0000-00008F000000}"/>
    <cellStyle name="Денежный 4 8 5" xfId="3601" xr:uid="{00000000-0005-0000-0000-00008F000000}"/>
    <cellStyle name="Денежный 4 9" xfId="936" xr:uid="{00000000-0005-0000-0000-000080000000}"/>
    <cellStyle name="Денежный 4 9 2" xfId="1981" xr:uid="{00000000-0005-0000-0000-000080000000}"/>
    <cellStyle name="Денежный 4 9 2 2" xfId="4975" xr:uid="{00000000-0005-0000-0000-000080000000}"/>
    <cellStyle name="Денежный 4 9 3" xfId="2660" xr:uid="{00000000-0005-0000-0000-000080000000}"/>
    <cellStyle name="Денежный 4 9 3 2" xfId="5654" xr:uid="{00000000-0005-0000-0000-000080000000}"/>
    <cellStyle name="Денежный 4 9 4" xfId="3931" xr:uid="{00000000-0005-0000-0000-000080000000}"/>
    <cellStyle name="Денежный 5" xfId="91" xr:uid="{00000000-0005-0000-0000-00008D000000}"/>
    <cellStyle name="Денежный 5 10" xfId="1696" xr:uid="{00000000-0005-0000-0000-000087000000}"/>
    <cellStyle name="Денежный 5 10 2" xfId="4691" xr:uid="{00000000-0005-0000-0000-000087000000}"/>
    <cellStyle name="Денежный 5 11" xfId="477" xr:uid="{00000000-0005-0000-0000-000087000000}"/>
    <cellStyle name="Денежный 5 11 2" xfId="3478" xr:uid="{00000000-0005-0000-0000-000087000000}"/>
    <cellStyle name="Денежный 5 12" xfId="2418" xr:uid="{00000000-0005-0000-0000-00008D000000}"/>
    <cellStyle name="Денежный 5 12 2" xfId="5412" xr:uid="{00000000-0005-0000-0000-00008D000000}"/>
    <cellStyle name="Денежный 5 13" xfId="3116" xr:uid="{00000000-0005-0000-0000-00008D000000}"/>
    <cellStyle name="Денежный 5 2" xfId="168" xr:uid="{00000000-0005-0000-0000-00008D000000}"/>
    <cellStyle name="Денежный 5 2 2" xfId="313" xr:uid="{00000000-0005-0000-0000-00008D000000}"/>
    <cellStyle name="Денежный 5 2 2 2" xfId="1199" xr:uid="{00000000-0005-0000-0000-00005E000000}"/>
    <cellStyle name="Денежный 5 2 2 2 2" xfId="2079" xr:uid="{00000000-0005-0000-0000-00005E000000}"/>
    <cellStyle name="Денежный 5 2 2 2 2 2" xfId="5073" xr:uid="{00000000-0005-0000-0000-00005E000000}"/>
    <cellStyle name="Денежный 5 2 2 2 3" xfId="4194" xr:uid="{00000000-0005-0000-0000-00005E000000}"/>
    <cellStyle name="Денежный 5 2 2 3" xfId="1639" xr:uid="{00000000-0005-0000-0000-00005E000000}"/>
    <cellStyle name="Денежный 5 2 2 3 2" xfId="2339" xr:uid="{00000000-0005-0000-0000-00005E000000}"/>
    <cellStyle name="Денежный 5 2 2 3 2 2" xfId="5333" xr:uid="{00000000-0005-0000-0000-00005E000000}"/>
    <cellStyle name="Денежный 5 2 2 3 3" xfId="4634" xr:uid="{00000000-0005-0000-0000-00005E000000}"/>
    <cellStyle name="Денежный 5 2 2 4" xfId="1900" xr:uid="{00000000-0005-0000-0000-00005E000000}"/>
    <cellStyle name="Денежный 5 2 2 4 2" xfId="4895" xr:uid="{00000000-0005-0000-0000-00005E000000}"/>
    <cellStyle name="Денежный 5 2 2 5" xfId="845" xr:uid="{00000000-0005-0000-0000-00005E000000}"/>
    <cellStyle name="Денежный 5 2 2 5 2" xfId="3841" xr:uid="{00000000-0005-0000-0000-00005E000000}"/>
    <cellStyle name="Денежный 5 2 2 6" xfId="3030" xr:uid="{00000000-0005-0000-0000-00005E000000}"/>
    <cellStyle name="Денежный 5 2 2 6 2" xfId="6024" xr:uid="{00000000-0005-0000-0000-00005E000000}"/>
    <cellStyle name="Денежный 5 2 2 7" xfId="3336" xr:uid="{00000000-0005-0000-0000-00008D000000}"/>
    <cellStyle name="Денежный 5 2 3" xfId="739" xr:uid="{00000000-0005-0000-0000-00005E000000}"/>
    <cellStyle name="Денежный 5 2 3 2" xfId="1534" xr:uid="{00000000-0005-0000-0000-00005E000000}"/>
    <cellStyle name="Денежный 5 2 3 2 2" xfId="2255" xr:uid="{00000000-0005-0000-0000-00005E000000}"/>
    <cellStyle name="Денежный 5 2 3 2 2 2" xfId="5249" xr:uid="{00000000-0005-0000-0000-00005E000000}"/>
    <cellStyle name="Денежный 5 2 3 2 3" xfId="4529" xr:uid="{00000000-0005-0000-0000-00005E000000}"/>
    <cellStyle name="Денежный 5 2 3 3" xfId="1816" xr:uid="{00000000-0005-0000-0000-00005E000000}"/>
    <cellStyle name="Денежный 5 2 3 3 2" xfId="4811" xr:uid="{00000000-0005-0000-0000-00005E000000}"/>
    <cellStyle name="Денежный 5 2 3 4" xfId="2925" xr:uid="{00000000-0005-0000-0000-00005E000000}"/>
    <cellStyle name="Денежный 5 2 3 4 2" xfId="5919" xr:uid="{00000000-0005-0000-0000-00005E000000}"/>
    <cellStyle name="Денежный 5 2 3 5" xfId="3736" xr:uid="{00000000-0005-0000-0000-00005E000000}"/>
    <cellStyle name="Денежный 5 2 4" xfId="945" xr:uid="{00000000-0005-0000-0000-00005E000000}"/>
    <cellStyle name="Денежный 5 2 4 2" xfId="1987" xr:uid="{00000000-0005-0000-0000-00005E000000}"/>
    <cellStyle name="Денежный 5 2 4 2 2" xfId="4981" xr:uid="{00000000-0005-0000-0000-00005E000000}"/>
    <cellStyle name="Денежный 5 2 4 3" xfId="2695" xr:uid="{00000000-0005-0000-0000-00005E000000}"/>
    <cellStyle name="Денежный 5 2 4 3 2" xfId="5689" xr:uid="{00000000-0005-0000-0000-00005E000000}"/>
    <cellStyle name="Денежный 5 2 4 4" xfId="3940" xr:uid="{00000000-0005-0000-0000-00005E000000}"/>
    <cellStyle name="Денежный 5 2 5" xfId="1304" xr:uid="{00000000-0005-0000-0000-00005E000000}"/>
    <cellStyle name="Денежный 5 2 5 2" xfId="2163" xr:uid="{00000000-0005-0000-0000-00005E000000}"/>
    <cellStyle name="Денежный 5 2 5 2 2" xfId="5157" xr:uid="{00000000-0005-0000-0000-00005E000000}"/>
    <cellStyle name="Денежный 5 2 5 3" xfId="4299" xr:uid="{00000000-0005-0000-0000-00005E000000}"/>
    <cellStyle name="Денежный 5 2 6" xfId="1724" xr:uid="{00000000-0005-0000-0000-00005E000000}"/>
    <cellStyle name="Денежный 5 2 6 2" xfId="4719" xr:uid="{00000000-0005-0000-0000-00005E000000}"/>
    <cellStyle name="Денежный 5 2 7" xfId="506" xr:uid="{00000000-0005-0000-0000-00005E000000}"/>
    <cellStyle name="Денежный 5 2 7 2" xfId="3506" xr:uid="{00000000-0005-0000-0000-00005E000000}"/>
    <cellStyle name="Денежный 5 2 8" xfId="2590" xr:uid="{00000000-0005-0000-0000-00005E000000}"/>
    <cellStyle name="Денежный 5 2 8 2" xfId="5584" xr:uid="{00000000-0005-0000-0000-00005E000000}"/>
    <cellStyle name="Денежный 5 2 9" xfId="3191" xr:uid="{00000000-0005-0000-0000-00008D000000}"/>
    <cellStyle name="Денежный 5 3" xfId="238" xr:uid="{00000000-0005-0000-0000-00008D000000}"/>
    <cellStyle name="Денежный 5 3 2" xfId="873" xr:uid="{00000000-0005-0000-0000-00005E000000}"/>
    <cellStyle name="Денежный 5 3 2 2" xfId="1227" xr:uid="{00000000-0005-0000-0000-00005E000000}"/>
    <cellStyle name="Денежный 5 3 2 2 2" xfId="2107" xr:uid="{00000000-0005-0000-0000-00005E000000}"/>
    <cellStyle name="Денежный 5 3 2 2 2 2" xfId="5101" xr:uid="{00000000-0005-0000-0000-00005E000000}"/>
    <cellStyle name="Денежный 5 3 2 2 3" xfId="4222" xr:uid="{00000000-0005-0000-0000-00005E000000}"/>
    <cellStyle name="Денежный 5 3 2 3" xfId="1667" xr:uid="{00000000-0005-0000-0000-00005E000000}"/>
    <cellStyle name="Денежный 5 3 2 3 2" xfId="2367" xr:uid="{00000000-0005-0000-0000-00005E000000}"/>
    <cellStyle name="Денежный 5 3 2 3 2 2" xfId="5361" xr:uid="{00000000-0005-0000-0000-00005E000000}"/>
    <cellStyle name="Денежный 5 3 2 3 3" xfId="4662" xr:uid="{00000000-0005-0000-0000-00005E000000}"/>
    <cellStyle name="Денежный 5 3 2 4" xfId="1928" xr:uid="{00000000-0005-0000-0000-00005E000000}"/>
    <cellStyle name="Денежный 5 3 2 4 2" xfId="4923" xr:uid="{00000000-0005-0000-0000-00005E000000}"/>
    <cellStyle name="Денежный 5 3 2 5" xfId="3058" xr:uid="{00000000-0005-0000-0000-00005E000000}"/>
    <cellStyle name="Денежный 5 3 2 5 2" xfId="6052" xr:uid="{00000000-0005-0000-0000-00005E000000}"/>
    <cellStyle name="Денежный 5 3 2 6" xfId="3869" xr:uid="{00000000-0005-0000-0000-00005E000000}"/>
    <cellStyle name="Денежный 5 3 3" xfId="768" xr:uid="{00000000-0005-0000-0000-00005E000000}"/>
    <cellStyle name="Денежный 5 3 3 2" xfId="1562" xr:uid="{00000000-0005-0000-0000-00005E000000}"/>
    <cellStyle name="Денежный 5 3 3 2 2" xfId="2283" xr:uid="{00000000-0005-0000-0000-00005E000000}"/>
    <cellStyle name="Денежный 5 3 3 2 2 2" xfId="5277" xr:uid="{00000000-0005-0000-0000-00005E000000}"/>
    <cellStyle name="Денежный 5 3 3 2 3" xfId="4557" xr:uid="{00000000-0005-0000-0000-00005E000000}"/>
    <cellStyle name="Денежный 5 3 3 3" xfId="1844" xr:uid="{00000000-0005-0000-0000-00005E000000}"/>
    <cellStyle name="Денежный 5 3 3 3 2" xfId="4839" xr:uid="{00000000-0005-0000-0000-00005E000000}"/>
    <cellStyle name="Денежный 5 3 3 4" xfId="2953" xr:uid="{00000000-0005-0000-0000-00005E000000}"/>
    <cellStyle name="Денежный 5 3 3 4 2" xfId="5947" xr:uid="{00000000-0005-0000-0000-00005E000000}"/>
    <cellStyle name="Денежный 5 3 3 5" xfId="3764" xr:uid="{00000000-0005-0000-0000-00005E000000}"/>
    <cellStyle name="Денежный 5 3 4" xfId="978" xr:uid="{00000000-0005-0000-0000-00005E000000}"/>
    <cellStyle name="Денежный 5 3 4 2" xfId="2013" xr:uid="{00000000-0005-0000-0000-00005E000000}"/>
    <cellStyle name="Денежный 5 3 4 2 2" xfId="5007" xr:uid="{00000000-0005-0000-0000-00005E000000}"/>
    <cellStyle name="Денежный 5 3 4 3" xfId="2723" xr:uid="{00000000-0005-0000-0000-00005E000000}"/>
    <cellStyle name="Денежный 5 3 4 3 2" xfId="5717" xr:uid="{00000000-0005-0000-0000-00005E000000}"/>
    <cellStyle name="Денежный 5 3 4 4" xfId="3973" xr:uid="{00000000-0005-0000-0000-00005E000000}"/>
    <cellStyle name="Денежный 5 3 5" xfId="1332" xr:uid="{00000000-0005-0000-0000-00005E000000}"/>
    <cellStyle name="Денежный 5 3 5 2" xfId="2191" xr:uid="{00000000-0005-0000-0000-00005E000000}"/>
    <cellStyle name="Денежный 5 3 5 2 2" xfId="5185" xr:uid="{00000000-0005-0000-0000-00005E000000}"/>
    <cellStyle name="Денежный 5 3 5 3" xfId="4327" xr:uid="{00000000-0005-0000-0000-00005E000000}"/>
    <cellStyle name="Денежный 5 3 6" xfId="1752" xr:uid="{00000000-0005-0000-0000-00005E000000}"/>
    <cellStyle name="Денежный 5 3 6 2" xfId="4747" xr:uid="{00000000-0005-0000-0000-00005E000000}"/>
    <cellStyle name="Денежный 5 3 7" xfId="535" xr:uid="{00000000-0005-0000-0000-00005E000000}"/>
    <cellStyle name="Денежный 5 3 7 2" xfId="3534" xr:uid="{00000000-0005-0000-0000-00005E000000}"/>
    <cellStyle name="Денежный 5 3 8" xfId="2618" xr:uid="{00000000-0005-0000-0000-00005E000000}"/>
    <cellStyle name="Денежный 5 3 8 2" xfId="5612" xr:uid="{00000000-0005-0000-0000-00005E000000}"/>
    <cellStyle name="Денежный 5 3 9" xfId="3261" xr:uid="{00000000-0005-0000-0000-00008D000000}"/>
    <cellStyle name="Денежный 5 4" xfId="383" xr:uid="{00000000-0005-0000-0000-00008D000000}"/>
    <cellStyle name="Денежный 5 4 2" xfId="1136" xr:uid="{00000000-0005-0000-0000-000087000000}"/>
    <cellStyle name="Денежный 5 4 2 2" xfId="2036" xr:uid="{00000000-0005-0000-0000-000087000000}"/>
    <cellStyle name="Денежный 5 4 2 2 2" xfId="5030" xr:uid="{00000000-0005-0000-0000-000087000000}"/>
    <cellStyle name="Денежный 5 4 2 3" xfId="2897" xr:uid="{00000000-0005-0000-0000-000087000000}"/>
    <cellStyle name="Денежный 5 4 2 3 2" xfId="5891" xr:uid="{00000000-0005-0000-0000-000087000000}"/>
    <cellStyle name="Денежный 5 4 2 4" xfId="4131" xr:uid="{00000000-0005-0000-0000-000087000000}"/>
    <cellStyle name="Денежный 5 4 3" xfId="1506" xr:uid="{00000000-0005-0000-0000-000087000000}"/>
    <cellStyle name="Денежный 5 4 3 2" xfId="2227" xr:uid="{00000000-0005-0000-0000-000087000000}"/>
    <cellStyle name="Денежный 5 4 3 2 2" xfId="5221" xr:uid="{00000000-0005-0000-0000-000087000000}"/>
    <cellStyle name="Денежный 5 4 3 3" xfId="4501" xr:uid="{00000000-0005-0000-0000-000087000000}"/>
    <cellStyle name="Денежный 5 4 4" xfId="1788" xr:uid="{00000000-0005-0000-0000-000087000000}"/>
    <cellStyle name="Денежный 5 4 4 2" xfId="4783" xr:uid="{00000000-0005-0000-0000-000087000000}"/>
    <cellStyle name="Денежный 5 4 5" xfId="711" xr:uid="{00000000-0005-0000-0000-000087000000}"/>
    <cellStyle name="Денежный 5 4 5 2" xfId="3708" xr:uid="{00000000-0005-0000-0000-000087000000}"/>
    <cellStyle name="Денежный 5 4 6" xfId="2562" xr:uid="{00000000-0005-0000-0000-000087000000}"/>
    <cellStyle name="Денежный 5 4 6 2" xfId="5556" xr:uid="{00000000-0005-0000-0000-000087000000}"/>
    <cellStyle name="Денежный 5 4 7" xfId="3406" xr:uid="{00000000-0005-0000-0000-00008D000000}"/>
    <cellStyle name="Денежный 5 5" xfId="638" xr:uid="{00000000-0005-0000-0000-00008D000000}"/>
    <cellStyle name="Денежный 5 5 2" xfId="1076" xr:uid="{00000000-0005-0000-0000-00008D000000}"/>
    <cellStyle name="Денежный 5 5 2 2" xfId="2029" xr:uid="{00000000-0005-0000-0000-00008D000000}"/>
    <cellStyle name="Денежный 5 5 2 2 2" xfId="5023" xr:uid="{00000000-0005-0000-0000-00008D000000}"/>
    <cellStyle name="Денежный 5 5 2 3" xfId="2826" xr:uid="{00000000-0005-0000-0000-00008D000000}"/>
    <cellStyle name="Денежный 5 5 2 3 2" xfId="5820" xr:uid="{00000000-0005-0000-0000-00008D000000}"/>
    <cellStyle name="Денежный 5 5 2 4" xfId="4071" xr:uid="{00000000-0005-0000-0000-00008D000000}"/>
    <cellStyle name="Денежный 5 5 3" xfId="1435" xr:uid="{00000000-0005-0000-0000-00008D000000}"/>
    <cellStyle name="Денежный 5 5 3 2" xfId="2210" xr:uid="{00000000-0005-0000-0000-00008D000000}"/>
    <cellStyle name="Денежный 5 5 3 2 2" xfId="5204" xr:uid="{00000000-0005-0000-0000-00008D000000}"/>
    <cellStyle name="Денежный 5 5 3 3" xfId="4430" xr:uid="{00000000-0005-0000-0000-00008D000000}"/>
    <cellStyle name="Денежный 5 5 4" xfId="1771" xr:uid="{00000000-0005-0000-0000-00008D000000}"/>
    <cellStyle name="Денежный 5 5 4 2" xfId="4766" xr:uid="{00000000-0005-0000-0000-00008D000000}"/>
    <cellStyle name="Денежный 5 5 5" xfId="2490" xr:uid="{00000000-0005-0000-0000-00008D000000}"/>
    <cellStyle name="Денежный 5 5 5 2" xfId="5484" xr:uid="{00000000-0005-0000-0000-00008D000000}"/>
    <cellStyle name="Денежный 5 5 6" xfId="3637" xr:uid="{00000000-0005-0000-0000-00008D000000}"/>
    <cellStyle name="Денежный 5 6" xfId="817" xr:uid="{00000000-0005-0000-0000-000087000000}"/>
    <cellStyle name="Денежный 5 6 2" xfId="1171" xr:uid="{00000000-0005-0000-0000-000087000000}"/>
    <cellStyle name="Денежный 5 6 2 2" xfId="2051" xr:uid="{00000000-0005-0000-0000-000087000000}"/>
    <cellStyle name="Денежный 5 6 2 2 2" xfId="5045" xr:uid="{00000000-0005-0000-0000-000087000000}"/>
    <cellStyle name="Денежный 5 6 2 3" xfId="4166" xr:uid="{00000000-0005-0000-0000-000087000000}"/>
    <cellStyle name="Денежный 5 6 3" xfId="1611" xr:uid="{00000000-0005-0000-0000-000087000000}"/>
    <cellStyle name="Денежный 5 6 3 2" xfId="2311" xr:uid="{00000000-0005-0000-0000-000087000000}"/>
    <cellStyle name="Денежный 5 6 3 2 2" xfId="5305" xr:uid="{00000000-0005-0000-0000-000087000000}"/>
    <cellStyle name="Денежный 5 6 3 3" xfId="4606" xr:uid="{00000000-0005-0000-0000-000087000000}"/>
    <cellStyle name="Денежный 5 6 4" xfId="1872" xr:uid="{00000000-0005-0000-0000-000087000000}"/>
    <cellStyle name="Денежный 5 6 4 2" xfId="4867" xr:uid="{00000000-0005-0000-0000-000087000000}"/>
    <cellStyle name="Денежный 5 6 5" xfId="3002" xr:uid="{00000000-0005-0000-0000-000087000000}"/>
    <cellStyle name="Денежный 5 6 5 2" xfId="5996" xr:uid="{00000000-0005-0000-0000-000087000000}"/>
    <cellStyle name="Денежный 5 6 6" xfId="3813" xr:uid="{00000000-0005-0000-0000-000087000000}"/>
    <cellStyle name="Денежный 5 7" xfId="567" xr:uid="{00000000-0005-0000-0000-00008D000000}"/>
    <cellStyle name="Денежный 5 7 2" xfId="1364" xr:uid="{00000000-0005-0000-0000-00008D000000}"/>
    <cellStyle name="Денежный 5 7 2 2" xfId="2206" xr:uid="{00000000-0005-0000-0000-00008D000000}"/>
    <cellStyle name="Денежный 5 7 2 2 2" xfId="5200" xr:uid="{00000000-0005-0000-0000-00008D000000}"/>
    <cellStyle name="Денежный 5 7 2 3" xfId="4359" xr:uid="{00000000-0005-0000-0000-00008D000000}"/>
    <cellStyle name="Денежный 5 7 3" xfId="1767" xr:uid="{00000000-0005-0000-0000-00008D000000}"/>
    <cellStyle name="Денежный 5 7 3 2" xfId="4762" xr:uid="{00000000-0005-0000-0000-00008D000000}"/>
    <cellStyle name="Денежный 5 7 4" xfId="2755" xr:uid="{00000000-0005-0000-0000-00008D000000}"/>
    <cellStyle name="Денежный 5 7 4 2" xfId="5749" xr:uid="{00000000-0005-0000-0000-00008D000000}"/>
    <cellStyle name="Денежный 5 7 5" xfId="3566" xr:uid="{00000000-0005-0000-0000-00008D000000}"/>
    <cellStyle name="Денежный 5 8" xfId="894" xr:uid="{00000000-0005-0000-0000-000087000000}"/>
    <cellStyle name="Денежный 5 8 2" xfId="1946" xr:uid="{00000000-0005-0000-0000-000087000000}"/>
    <cellStyle name="Денежный 5 8 2 2" xfId="4941" xr:uid="{00000000-0005-0000-0000-000087000000}"/>
    <cellStyle name="Денежный 5 8 3" xfId="2667" xr:uid="{00000000-0005-0000-0000-000087000000}"/>
    <cellStyle name="Денежный 5 8 3 2" xfId="5661" xr:uid="{00000000-0005-0000-0000-000087000000}"/>
    <cellStyle name="Денежный 5 8 4" xfId="3890" xr:uid="{00000000-0005-0000-0000-000087000000}"/>
    <cellStyle name="Денежный 5 9" xfId="1276" xr:uid="{00000000-0005-0000-0000-000087000000}"/>
    <cellStyle name="Денежный 5 9 2" xfId="2135" xr:uid="{00000000-0005-0000-0000-000087000000}"/>
    <cellStyle name="Денежный 5 9 2 2" xfId="5129" xr:uid="{00000000-0005-0000-0000-000087000000}"/>
    <cellStyle name="Денежный 5 9 3" xfId="4271" xr:uid="{00000000-0005-0000-0000-000087000000}"/>
    <cellStyle name="Денежный 6" xfId="151" xr:uid="{00000000-0005-0000-0000-0000D3000000}"/>
    <cellStyle name="Денежный 6 2" xfId="296" xr:uid="{00000000-0005-0000-0000-0000D3000000}"/>
    <cellStyle name="Денежный 6 2 2" xfId="1185" xr:uid="{00000000-0005-0000-0000-000095000000}"/>
    <cellStyle name="Денежный 6 2 2 2" xfId="2065" xr:uid="{00000000-0005-0000-0000-000095000000}"/>
    <cellStyle name="Денежный 6 2 2 2 2" xfId="5059" xr:uid="{00000000-0005-0000-0000-000095000000}"/>
    <cellStyle name="Денежный 6 2 2 3" xfId="4180" xr:uid="{00000000-0005-0000-0000-000095000000}"/>
    <cellStyle name="Денежный 6 2 3" xfId="1625" xr:uid="{00000000-0005-0000-0000-000095000000}"/>
    <cellStyle name="Денежный 6 2 3 2" xfId="2325" xr:uid="{00000000-0005-0000-0000-000095000000}"/>
    <cellStyle name="Денежный 6 2 3 2 2" xfId="5319" xr:uid="{00000000-0005-0000-0000-000095000000}"/>
    <cellStyle name="Денежный 6 2 3 3" xfId="4620" xr:uid="{00000000-0005-0000-0000-000095000000}"/>
    <cellStyle name="Денежный 6 2 4" xfId="1886" xr:uid="{00000000-0005-0000-0000-000095000000}"/>
    <cellStyle name="Денежный 6 2 4 2" xfId="4881" xr:uid="{00000000-0005-0000-0000-000095000000}"/>
    <cellStyle name="Денежный 6 2 5" xfId="831" xr:uid="{00000000-0005-0000-0000-000095000000}"/>
    <cellStyle name="Денежный 6 2 5 2" xfId="3827" xr:uid="{00000000-0005-0000-0000-000095000000}"/>
    <cellStyle name="Денежный 6 2 6" xfId="3016" xr:uid="{00000000-0005-0000-0000-000095000000}"/>
    <cellStyle name="Денежный 6 2 6 2" xfId="6010" xr:uid="{00000000-0005-0000-0000-000095000000}"/>
    <cellStyle name="Денежный 6 2 7" xfId="3319" xr:uid="{00000000-0005-0000-0000-0000D3000000}"/>
    <cellStyle name="Денежный 6 3" xfId="725" xr:uid="{00000000-0005-0000-0000-000095000000}"/>
    <cellStyle name="Денежный 6 3 2" xfId="1520" xr:uid="{00000000-0005-0000-0000-000095000000}"/>
    <cellStyle name="Денежный 6 3 2 2" xfId="2241" xr:uid="{00000000-0005-0000-0000-000095000000}"/>
    <cellStyle name="Денежный 6 3 2 2 2" xfId="5235" xr:uid="{00000000-0005-0000-0000-000095000000}"/>
    <cellStyle name="Денежный 6 3 2 3" xfId="4515" xr:uid="{00000000-0005-0000-0000-000095000000}"/>
    <cellStyle name="Денежный 6 3 3" xfId="1802" xr:uid="{00000000-0005-0000-0000-000095000000}"/>
    <cellStyle name="Денежный 6 3 3 2" xfId="4797" xr:uid="{00000000-0005-0000-0000-000095000000}"/>
    <cellStyle name="Денежный 6 3 4" xfId="2911" xr:uid="{00000000-0005-0000-0000-000095000000}"/>
    <cellStyle name="Денежный 6 3 4 2" xfId="5905" xr:uid="{00000000-0005-0000-0000-000095000000}"/>
    <cellStyle name="Денежный 6 3 5" xfId="3722" xr:uid="{00000000-0005-0000-0000-000095000000}"/>
    <cellStyle name="Денежный 6 4" xfId="937" xr:uid="{00000000-0005-0000-0000-000095000000}"/>
    <cellStyle name="Денежный 6 4 2" xfId="1982" xr:uid="{00000000-0005-0000-0000-000095000000}"/>
    <cellStyle name="Денежный 6 4 2 2" xfId="4976" xr:uid="{00000000-0005-0000-0000-000095000000}"/>
    <cellStyle name="Денежный 6 4 3" xfId="2681" xr:uid="{00000000-0005-0000-0000-000095000000}"/>
    <cellStyle name="Денежный 6 4 3 2" xfId="5675" xr:uid="{00000000-0005-0000-0000-000095000000}"/>
    <cellStyle name="Денежный 6 4 4" xfId="3932" xr:uid="{00000000-0005-0000-0000-000095000000}"/>
    <cellStyle name="Денежный 6 5" xfId="1290" xr:uid="{00000000-0005-0000-0000-000095000000}"/>
    <cellStyle name="Денежный 6 5 2" xfId="2149" xr:uid="{00000000-0005-0000-0000-000095000000}"/>
    <cellStyle name="Денежный 6 5 2 2" xfId="5143" xr:uid="{00000000-0005-0000-0000-000095000000}"/>
    <cellStyle name="Денежный 6 5 3" xfId="4285" xr:uid="{00000000-0005-0000-0000-000095000000}"/>
    <cellStyle name="Денежный 6 6" xfId="1710" xr:uid="{00000000-0005-0000-0000-000095000000}"/>
    <cellStyle name="Денежный 6 6 2" xfId="4705" xr:uid="{00000000-0005-0000-0000-000095000000}"/>
    <cellStyle name="Денежный 6 7" xfId="491" xr:uid="{00000000-0005-0000-0000-000095000000}"/>
    <cellStyle name="Денежный 6 7 2" xfId="3492" xr:uid="{00000000-0005-0000-0000-000095000000}"/>
    <cellStyle name="Денежный 6 8" xfId="2576" xr:uid="{00000000-0005-0000-0000-000095000000}"/>
    <cellStyle name="Денежный 6 8 2" xfId="5570" xr:uid="{00000000-0005-0000-0000-000095000000}"/>
    <cellStyle name="Денежный 6 9" xfId="3174" xr:uid="{00000000-0005-0000-0000-0000D3000000}"/>
    <cellStyle name="Денежный 7" xfId="72" xr:uid="{00000000-0005-0000-0000-0000A6000000}"/>
    <cellStyle name="Денежный 7 2" xfId="859" xr:uid="{00000000-0005-0000-0000-0000B3000000}"/>
    <cellStyle name="Денежный 7 2 2" xfId="1213" xr:uid="{00000000-0005-0000-0000-0000B3000000}"/>
    <cellStyle name="Денежный 7 2 2 2" xfId="2093" xr:uid="{00000000-0005-0000-0000-0000B3000000}"/>
    <cellStyle name="Денежный 7 2 2 2 2" xfId="5087" xr:uid="{00000000-0005-0000-0000-0000B3000000}"/>
    <cellStyle name="Денежный 7 2 2 3" xfId="4208" xr:uid="{00000000-0005-0000-0000-0000B3000000}"/>
    <cellStyle name="Денежный 7 2 3" xfId="1653" xr:uid="{00000000-0005-0000-0000-0000B3000000}"/>
    <cellStyle name="Денежный 7 2 3 2" xfId="2353" xr:uid="{00000000-0005-0000-0000-0000B3000000}"/>
    <cellStyle name="Денежный 7 2 3 2 2" xfId="5347" xr:uid="{00000000-0005-0000-0000-0000B3000000}"/>
    <cellStyle name="Денежный 7 2 3 3" xfId="4648" xr:uid="{00000000-0005-0000-0000-0000B3000000}"/>
    <cellStyle name="Денежный 7 2 4" xfId="1914" xr:uid="{00000000-0005-0000-0000-0000B3000000}"/>
    <cellStyle name="Денежный 7 2 4 2" xfId="4909" xr:uid="{00000000-0005-0000-0000-0000B3000000}"/>
    <cellStyle name="Денежный 7 2 5" xfId="3044" xr:uid="{00000000-0005-0000-0000-0000B3000000}"/>
    <cellStyle name="Денежный 7 2 5 2" xfId="6038" xr:uid="{00000000-0005-0000-0000-0000B3000000}"/>
    <cellStyle name="Денежный 7 2 6" xfId="3855" xr:uid="{00000000-0005-0000-0000-0000B3000000}"/>
    <cellStyle name="Денежный 7 3" xfId="754" xr:uid="{00000000-0005-0000-0000-0000B3000000}"/>
    <cellStyle name="Денежный 7 3 2" xfId="1548" xr:uid="{00000000-0005-0000-0000-0000B3000000}"/>
    <cellStyle name="Денежный 7 3 2 2" xfId="2269" xr:uid="{00000000-0005-0000-0000-0000B3000000}"/>
    <cellStyle name="Денежный 7 3 2 2 2" xfId="5263" xr:uid="{00000000-0005-0000-0000-0000B3000000}"/>
    <cellStyle name="Денежный 7 3 2 3" xfId="4543" xr:uid="{00000000-0005-0000-0000-0000B3000000}"/>
    <cellStyle name="Денежный 7 3 3" xfId="1830" xr:uid="{00000000-0005-0000-0000-0000B3000000}"/>
    <cellStyle name="Денежный 7 3 3 2" xfId="4825" xr:uid="{00000000-0005-0000-0000-0000B3000000}"/>
    <cellStyle name="Денежный 7 3 4" xfId="2939" xr:uid="{00000000-0005-0000-0000-0000B3000000}"/>
    <cellStyle name="Денежный 7 3 4 2" xfId="5933" xr:uid="{00000000-0005-0000-0000-0000B3000000}"/>
    <cellStyle name="Денежный 7 3 5" xfId="3750" xr:uid="{00000000-0005-0000-0000-0000B3000000}"/>
    <cellStyle name="Денежный 7 4" xfId="944" xr:uid="{00000000-0005-0000-0000-0000B3000000}"/>
    <cellStyle name="Денежный 7 4 2" xfId="1986" xr:uid="{00000000-0005-0000-0000-0000B3000000}"/>
    <cellStyle name="Денежный 7 4 2 2" xfId="4980" xr:uid="{00000000-0005-0000-0000-0000B3000000}"/>
    <cellStyle name="Денежный 7 4 3" xfId="2709" xr:uid="{00000000-0005-0000-0000-0000B3000000}"/>
    <cellStyle name="Денежный 7 4 3 2" xfId="5703" xr:uid="{00000000-0005-0000-0000-0000B3000000}"/>
    <cellStyle name="Денежный 7 4 4" xfId="3939" xr:uid="{00000000-0005-0000-0000-0000B3000000}"/>
    <cellStyle name="Денежный 7 5" xfId="1318" xr:uid="{00000000-0005-0000-0000-0000B3000000}"/>
    <cellStyle name="Денежный 7 5 2" xfId="2177" xr:uid="{00000000-0005-0000-0000-0000B3000000}"/>
    <cellStyle name="Денежный 7 5 2 2" xfId="5171" xr:uid="{00000000-0005-0000-0000-0000B3000000}"/>
    <cellStyle name="Денежный 7 5 3" xfId="4313" xr:uid="{00000000-0005-0000-0000-0000B3000000}"/>
    <cellStyle name="Денежный 7 6" xfId="1738" xr:uid="{00000000-0005-0000-0000-0000B3000000}"/>
    <cellStyle name="Денежный 7 6 2" xfId="4733" xr:uid="{00000000-0005-0000-0000-0000B3000000}"/>
    <cellStyle name="Денежный 7 7" xfId="521" xr:uid="{00000000-0005-0000-0000-0000B3000000}"/>
    <cellStyle name="Денежный 7 7 2" xfId="3520" xr:uid="{00000000-0005-0000-0000-0000B3000000}"/>
    <cellStyle name="Денежный 7 8" xfId="2604" xr:uid="{00000000-0005-0000-0000-0000B3000000}"/>
    <cellStyle name="Денежный 7 8 2" xfId="5598" xr:uid="{00000000-0005-0000-0000-0000B3000000}"/>
    <cellStyle name="Денежный 7 9" xfId="3098" xr:uid="{00000000-0005-0000-0000-0000A6000000}"/>
    <cellStyle name="Денежный 8" xfId="220" xr:uid="{00000000-0005-0000-0000-000041010000}"/>
    <cellStyle name="Денежный 8 2" xfId="1113" xr:uid="{00000000-0005-0000-0000-0000B2000000}"/>
    <cellStyle name="Денежный 8 2 2" xfId="2032" xr:uid="{00000000-0005-0000-0000-0000B2000000}"/>
    <cellStyle name="Денежный 8 2 2 2" xfId="5026" xr:uid="{00000000-0005-0000-0000-0000B2000000}"/>
    <cellStyle name="Денежный 8 2 3" xfId="2864" xr:uid="{00000000-0005-0000-0000-0000B2000000}"/>
    <cellStyle name="Денежный 8 2 3 2" xfId="5858" xr:uid="{00000000-0005-0000-0000-0000B2000000}"/>
    <cellStyle name="Денежный 8 2 4" xfId="4108" xr:uid="{00000000-0005-0000-0000-0000B2000000}"/>
    <cellStyle name="Денежный 8 3" xfId="1473" xr:uid="{00000000-0005-0000-0000-0000B2000000}"/>
    <cellStyle name="Денежный 8 3 2" xfId="2213" xr:uid="{00000000-0005-0000-0000-0000B2000000}"/>
    <cellStyle name="Денежный 8 3 2 2" xfId="5207" xr:uid="{00000000-0005-0000-0000-0000B2000000}"/>
    <cellStyle name="Денежный 8 3 3" xfId="4468" xr:uid="{00000000-0005-0000-0000-0000B2000000}"/>
    <cellStyle name="Денежный 8 4" xfId="1774" xr:uid="{00000000-0005-0000-0000-0000B2000000}"/>
    <cellStyle name="Денежный 8 4 2" xfId="4769" xr:uid="{00000000-0005-0000-0000-0000B2000000}"/>
    <cellStyle name="Денежный 8 5" xfId="676" xr:uid="{00000000-0005-0000-0000-0000B2000000}"/>
    <cellStyle name="Денежный 8 5 2" xfId="3675" xr:uid="{00000000-0005-0000-0000-0000B2000000}"/>
    <cellStyle name="Денежный 8 6" xfId="2528" xr:uid="{00000000-0005-0000-0000-0000B2000000}"/>
    <cellStyle name="Денежный 8 6 2" xfId="5522" xr:uid="{00000000-0005-0000-0000-0000B2000000}"/>
    <cellStyle name="Денежный 8 7" xfId="3243" xr:uid="{00000000-0005-0000-0000-000041010000}"/>
    <cellStyle name="Денежный 9" xfId="365" xr:uid="{00000000-0005-0000-0000-0000AE010000}"/>
    <cellStyle name="Денежный 9 2" xfId="1058" xr:uid="{00000000-0005-0000-0000-0000D6000000}"/>
    <cellStyle name="Денежный 9 2 2" xfId="2028" xr:uid="{00000000-0005-0000-0000-0000D6000000}"/>
    <cellStyle name="Денежный 9 2 2 2" xfId="5022" xr:uid="{00000000-0005-0000-0000-0000D6000000}"/>
    <cellStyle name="Денежный 9 2 3" xfId="2808" xr:uid="{00000000-0005-0000-0000-0000D6000000}"/>
    <cellStyle name="Денежный 9 2 3 2" xfId="5802" xr:uid="{00000000-0005-0000-0000-0000D6000000}"/>
    <cellStyle name="Денежный 9 2 4" xfId="4053" xr:uid="{00000000-0005-0000-0000-0000D6000000}"/>
    <cellStyle name="Денежный 9 3" xfId="1417" xr:uid="{00000000-0005-0000-0000-0000D6000000}"/>
    <cellStyle name="Денежный 9 3 2" xfId="2209" xr:uid="{00000000-0005-0000-0000-0000D6000000}"/>
    <cellStyle name="Денежный 9 3 2 2" xfId="5203" xr:uid="{00000000-0005-0000-0000-0000D6000000}"/>
    <cellStyle name="Денежный 9 3 3" xfId="4412" xr:uid="{00000000-0005-0000-0000-0000D6000000}"/>
    <cellStyle name="Денежный 9 4" xfId="1770" xr:uid="{00000000-0005-0000-0000-0000D6000000}"/>
    <cellStyle name="Денежный 9 4 2" xfId="4765" xr:uid="{00000000-0005-0000-0000-0000D6000000}"/>
    <cellStyle name="Денежный 9 5" xfId="620" xr:uid="{00000000-0005-0000-0000-0000D6000000}"/>
    <cellStyle name="Денежный 9 5 2" xfId="3619" xr:uid="{00000000-0005-0000-0000-0000D6000000}"/>
    <cellStyle name="Денежный 9 6" xfId="2472" xr:uid="{00000000-0005-0000-0000-0000D6000000}"/>
    <cellStyle name="Денежный 9 6 2" xfId="5466" xr:uid="{00000000-0005-0000-0000-0000D6000000}"/>
    <cellStyle name="Денежный 9 7" xfId="3388" xr:uid="{00000000-0005-0000-0000-0000AE010000}"/>
    <cellStyle name="Заголовок 1 2" xfId="34" xr:uid="{00000000-0005-0000-0000-000035000000}"/>
    <cellStyle name="Заголовок 2 2" xfId="35" xr:uid="{00000000-0005-0000-0000-000036000000}"/>
    <cellStyle name="Заголовок 3 2" xfId="36" xr:uid="{00000000-0005-0000-0000-000037000000}"/>
    <cellStyle name="Итог 2" xfId="52" xr:uid="{00000000-0005-0000-0000-000038000000}"/>
    <cellStyle name="Название 2" xfId="51" xr:uid="{00000000-0005-0000-0000-000039000000}"/>
    <cellStyle name="Обычный" xfId="0" builtinId="0"/>
    <cellStyle name="Обычный 10" xfId="2" xr:uid="{51E80C57-C401-4FAD-B09C-18F4BBD6EDE7}"/>
    <cellStyle name="Обычный 11" xfId="422" xr:uid="{D2D11D9C-B643-4265-AD92-1333F8464A6B}"/>
    <cellStyle name="Обычный 11 2" xfId="675" xr:uid="{00000000-0005-0000-0000-0000D7000000}"/>
    <cellStyle name="Обычный 11 2 2" xfId="2863" xr:uid="{00000000-0005-0000-0000-0000D7000000}"/>
    <cellStyle name="Обычный 11 2 2 2" xfId="5857" xr:uid="{00000000-0005-0000-0000-0000D7000000}"/>
    <cellStyle name="Обычный 11 2 3" xfId="3674" xr:uid="{00000000-0005-0000-0000-0000D7000000}"/>
    <cellStyle name="Обычный 11 3" xfId="1472" xr:uid="{00000000-0005-0000-0000-0000D7000000}"/>
    <cellStyle name="Обычный 11 3 2" xfId="4467" xr:uid="{00000000-0005-0000-0000-0000D7000000}"/>
    <cellStyle name="Обычный 11 4" xfId="2527" xr:uid="{00000000-0005-0000-0000-0000D7000000}"/>
    <cellStyle name="Обычный 11 4 2" xfId="5521" xr:uid="{00000000-0005-0000-0000-0000D7000000}"/>
    <cellStyle name="Обычный 12" xfId="430" xr:uid="{0E036C9A-A541-4267-9615-3669DA5DAE05}"/>
    <cellStyle name="Обычный 12 2" xfId="782" xr:uid="{00000000-0005-0000-0000-000092010000}"/>
    <cellStyle name="Обычный 12 2 2" xfId="3778" xr:uid="{00000000-0005-0000-0000-000092010000}"/>
    <cellStyle name="Обычный 12 3" xfId="1576" xr:uid="{00000000-0005-0000-0000-000092010000}"/>
    <cellStyle name="Обычный 12 3 2" xfId="4571" xr:uid="{00000000-0005-0000-0000-000092010000}"/>
    <cellStyle name="Обычный 12 4" xfId="2967" xr:uid="{00000000-0005-0000-0000-000092010000}"/>
    <cellStyle name="Обычный 12 4 2" xfId="5961" xr:uid="{00000000-0005-0000-0000-000092010000}"/>
    <cellStyle name="Обычный 13" xfId="887" xr:uid="{E2A7482E-FB18-49C0-85EA-D181B148F1E3}"/>
    <cellStyle name="Обычный 13 2" xfId="1681" xr:uid="{E2A7482E-FB18-49C0-85EA-D181B148F1E3}"/>
    <cellStyle name="Обычный 13 2 2" xfId="4676" xr:uid="{E2A7482E-FB18-49C0-85EA-D181B148F1E3}"/>
    <cellStyle name="Обычный 13 3" xfId="3072" xr:uid="{E2A7482E-FB18-49C0-85EA-D181B148F1E3}"/>
    <cellStyle name="Обычный 13 3 2" xfId="6066" xr:uid="{E2A7482E-FB18-49C0-85EA-D181B148F1E3}"/>
    <cellStyle name="Обычный 13 4" xfId="3883" xr:uid="{E2A7482E-FB18-49C0-85EA-D181B148F1E3}"/>
    <cellStyle name="Обычный 14" xfId="956" xr:uid="{00000000-0005-0000-0000-00009F020000}"/>
    <cellStyle name="Обычный 14 2" xfId="2632" xr:uid="{00000000-0005-0000-0000-000033020000}"/>
    <cellStyle name="Обычный 14 2 2" xfId="5626" xr:uid="{00000000-0005-0000-0000-000033020000}"/>
    <cellStyle name="Обычный 14 3" xfId="3951" xr:uid="{00000000-0005-0000-0000-00009F020000}"/>
    <cellStyle name="Обычный 15" xfId="1241" xr:uid="{00000000-0005-0000-0000-000057040000}"/>
    <cellStyle name="Обычный 15 2" xfId="4236" xr:uid="{00000000-0005-0000-0000-000057040000}"/>
    <cellStyle name="Обычный 16" xfId="908" xr:uid="{00000000-0005-0000-0000-0000AB030000}"/>
    <cellStyle name="Обычный 16 2" xfId="1957" xr:uid="{00000000-0005-0000-0000-0000AB030000}"/>
    <cellStyle name="Обычный 17" xfId="420" xr:uid="{00000000-0005-0000-0000-000057050000}"/>
    <cellStyle name="Обычный 17 2" xfId="3443" xr:uid="{00000000-0005-0000-0000-000057050000}"/>
    <cellStyle name="Обычный 18" xfId="2381" xr:uid="{00000000-0005-0000-0000-00007B090000}"/>
    <cellStyle name="Обычный 18 2" xfId="3074" xr:uid="{54E8F56C-C247-4573-8EA2-152C7400132F}"/>
    <cellStyle name="Обычный 18 2 2" xfId="6068" xr:uid="{54E8F56C-C247-4573-8EA2-152C7400132F}"/>
    <cellStyle name="Обычный 18 3" xfId="5375" xr:uid="{00000000-0005-0000-0000-00007B090000}"/>
    <cellStyle name="Обычный 19" xfId="2382" xr:uid="{00000000-0005-0000-0000-00007E090000}"/>
    <cellStyle name="Обычный 19 2" xfId="5376" xr:uid="{00000000-0005-0000-0000-00007E090000}"/>
    <cellStyle name="Обычный 2" xfId="1" xr:uid="{3C70B9DC-0251-4110-88A4-4911E9B3B64F}"/>
    <cellStyle name="Обычный 2 10" xfId="353" xr:uid="{00000000-0005-0000-0000-00003A000000}"/>
    <cellStyle name="Обычный 2 10 2" xfId="3376" xr:uid="{00000000-0005-0000-0000-00003A000000}"/>
    <cellStyle name="Обычный 2 11" xfId="421" xr:uid="{5E9AD36C-288F-486F-8827-A3ECA00F80B4}"/>
    <cellStyle name="Обычный 2 12" xfId="2388" xr:uid="{00000000-0005-0000-0000-00003A000000}"/>
    <cellStyle name="Обычный 2 12 2" xfId="5382" xr:uid="{00000000-0005-0000-0000-00003A000000}"/>
    <cellStyle name="Обычный 2 13" xfId="3075" xr:uid="{3C70B9DC-0251-4110-88A4-4911E9B3B64F}"/>
    <cellStyle name="Обычный 2 2" xfId="6" xr:uid="{3C70B9DC-0251-4110-88A4-4911E9B3B64F}"/>
    <cellStyle name="Обычный 2 2 10" xfId="1243" xr:uid="{05EED0EA-253E-4FD7-9044-056967BF011F}"/>
    <cellStyle name="Обычный 2 2 10 2" xfId="4238" xr:uid="{05EED0EA-253E-4FD7-9044-056967BF011F}"/>
    <cellStyle name="Обычный 2 2 11" xfId="434" xr:uid="{05EED0EA-253E-4FD7-9044-056967BF011F}"/>
    <cellStyle name="Обычный 2 2 11 2" xfId="3446" xr:uid="{05EED0EA-253E-4FD7-9044-056967BF011F}"/>
    <cellStyle name="Обычный 2 2 12" xfId="2395" xr:uid="{00000000-0005-0000-0000-00003B000000}"/>
    <cellStyle name="Обычный 2 2 12 2" xfId="5389" xr:uid="{00000000-0005-0000-0000-00003B000000}"/>
    <cellStyle name="Обычный 2 2 13" xfId="3077" xr:uid="{3C70B9DC-0251-4110-88A4-4911E9B3B64F}"/>
    <cellStyle name="Обычный 2 2 2" xfId="70" xr:uid="{41E9A6D7-AD43-4FD5-A591-BE3A53840E26}"/>
    <cellStyle name="Обычный 2 2 2 10" xfId="436" xr:uid="{3038131D-C2ED-4367-8C44-807A8F1D566D}"/>
    <cellStyle name="Обычный 2 2 2 10 2" xfId="3448" xr:uid="{3038131D-C2ED-4367-8C44-807A8F1D566D}"/>
    <cellStyle name="Обычный 2 2 2 11" xfId="2399" xr:uid="{41E9A6D7-AD43-4FD5-A591-BE3A53840E26}"/>
    <cellStyle name="Обычный 2 2 2 11 2" xfId="5393" xr:uid="{41E9A6D7-AD43-4FD5-A591-BE3A53840E26}"/>
    <cellStyle name="Обычный 2 2 2 12" xfId="3097" xr:uid="{41E9A6D7-AD43-4FD5-A591-BE3A53840E26}"/>
    <cellStyle name="Обычный 2 2 2 2" xfId="109" xr:uid="{41E9A6D7-AD43-4FD5-A591-BE3A53840E26}"/>
    <cellStyle name="Обычный 2 2 2 2 2" xfId="184" xr:uid="{41E9A6D7-AD43-4FD5-A591-BE3A53840E26}"/>
    <cellStyle name="Обычный 2 2 2 2 2 2" xfId="329" xr:uid="{41E9A6D7-AD43-4FD5-A591-BE3A53840E26}"/>
    <cellStyle name="Обычный 2 2 2 2 2 2 2" xfId="1093" xr:uid="{41E9A6D7-AD43-4FD5-A591-BE3A53840E26}"/>
    <cellStyle name="Обычный 2 2 2 2 2 2 2 2" xfId="4088" xr:uid="{41E9A6D7-AD43-4FD5-A591-BE3A53840E26}"/>
    <cellStyle name="Обычный 2 2 2 2 2 2 3" xfId="2843" xr:uid="{41E9A6D7-AD43-4FD5-A591-BE3A53840E26}"/>
    <cellStyle name="Обычный 2 2 2 2 2 2 3 2" xfId="5837" xr:uid="{41E9A6D7-AD43-4FD5-A591-BE3A53840E26}"/>
    <cellStyle name="Обычный 2 2 2 2 2 2 4" xfId="3352" xr:uid="{41E9A6D7-AD43-4FD5-A591-BE3A53840E26}"/>
    <cellStyle name="Обычный 2 2 2 2 2 3" xfId="1452" xr:uid="{41E9A6D7-AD43-4FD5-A591-BE3A53840E26}"/>
    <cellStyle name="Обычный 2 2 2 2 2 3 2" xfId="4447" xr:uid="{41E9A6D7-AD43-4FD5-A591-BE3A53840E26}"/>
    <cellStyle name="Обычный 2 2 2 2 2 4" xfId="655" xr:uid="{41E9A6D7-AD43-4FD5-A591-BE3A53840E26}"/>
    <cellStyle name="Обычный 2 2 2 2 2 4 2" xfId="3654" xr:uid="{41E9A6D7-AD43-4FD5-A591-BE3A53840E26}"/>
    <cellStyle name="Обычный 2 2 2 2 2 5" xfId="2507" xr:uid="{41E9A6D7-AD43-4FD5-A591-BE3A53840E26}"/>
    <cellStyle name="Обычный 2 2 2 2 2 5 2" xfId="5501" xr:uid="{41E9A6D7-AD43-4FD5-A591-BE3A53840E26}"/>
    <cellStyle name="Обычный 2 2 2 2 2 6" xfId="3207" xr:uid="{41E9A6D7-AD43-4FD5-A591-BE3A53840E26}"/>
    <cellStyle name="Обычный 2 2 2 2 3" xfId="255" xr:uid="{41E9A6D7-AD43-4FD5-A591-BE3A53840E26}"/>
    <cellStyle name="Обычный 2 2 2 2 3 2" xfId="1024" xr:uid="{41E9A6D7-AD43-4FD5-A591-BE3A53840E26}"/>
    <cellStyle name="Обычный 2 2 2 2 3 2 2" xfId="4019" xr:uid="{41E9A6D7-AD43-4FD5-A591-BE3A53840E26}"/>
    <cellStyle name="Обычный 2 2 2 2 3 3" xfId="2771" xr:uid="{41E9A6D7-AD43-4FD5-A591-BE3A53840E26}"/>
    <cellStyle name="Обычный 2 2 2 2 3 3 2" xfId="5765" xr:uid="{41E9A6D7-AD43-4FD5-A591-BE3A53840E26}"/>
    <cellStyle name="Обычный 2 2 2 2 3 4" xfId="3278" xr:uid="{41E9A6D7-AD43-4FD5-A591-BE3A53840E26}"/>
    <cellStyle name="Обычный 2 2 2 2 4" xfId="400" xr:uid="{41E9A6D7-AD43-4FD5-A591-BE3A53840E26}"/>
    <cellStyle name="Обычный 2 2 2 2 4 2" xfId="1380" xr:uid="{41E9A6D7-AD43-4FD5-A591-BE3A53840E26}"/>
    <cellStyle name="Обычный 2 2 2 2 4 2 2" xfId="4375" xr:uid="{41E9A6D7-AD43-4FD5-A591-BE3A53840E26}"/>
    <cellStyle name="Обычный 2 2 2 2 4 3" xfId="3423" xr:uid="{41E9A6D7-AD43-4FD5-A591-BE3A53840E26}"/>
    <cellStyle name="Обычный 2 2 2 2 5" xfId="583" xr:uid="{41E9A6D7-AD43-4FD5-A591-BE3A53840E26}"/>
    <cellStyle name="Обычный 2 2 2 2 5 2" xfId="3582" xr:uid="{41E9A6D7-AD43-4FD5-A591-BE3A53840E26}"/>
    <cellStyle name="Обычный 2 2 2 2 6" xfId="2435" xr:uid="{41E9A6D7-AD43-4FD5-A591-BE3A53840E26}"/>
    <cellStyle name="Обычный 2 2 2 2 6 2" xfId="5429" xr:uid="{41E9A6D7-AD43-4FD5-A591-BE3A53840E26}"/>
    <cellStyle name="Обычный 2 2 2 2 7" xfId="3133" xr:uid="{41E9A6D7-AD43-4FD5-A591-BE3A53840E26}"/>
    <cellStyle name="Обычный 2 2 2 3" xfId="128" xr:uid="{41E9A6D7-AD43-4FD5-A591-BE3A53840E26}"/>
    <cellStyle name="Обычный 2 2 2 3 2" xfId="201" xr:uid="{41E9A6D7-AD43-4FD5-A591-BE3A53840E26}"/>
    <cellStyle name="Обычный 2 2 2 3 2 2" xfId="346" xr:uid="{41E9A6D7-AD43-4FD5-A591-BE3A53840E26}"/>
    <cellStyle name="Обычный 2 2 2 3 2 2 2" xfId="1111" xr:uid="{41E9A6D7-AD43-4FD5-A591-BE3A53840E26}"/>
    <cellStyle name="Обычный 2 2 2 3 2 2 2 2" xfId="4106" xr:uid="{41E9A6D7-AD43-4FD5-A591-BE3A53840E26}"/>
    <cellStyle name="Обычный 2 2 2 3 2 2 3" xfId="2861" xr:uid="{41E9A6D7-AD43-4FD5-A591-BE3A53840E26}"/>
    <cellStyle name="Обычный 2 2 2 3 2 2 3 2" xfId="5855" xr:uid="{41E9A6D7-AD43-4FD5-A591-BE3A53840E26}"/>
    <cellStyle name="Обычный 2 2 2 3 2 2 4" xfId="3369" xr:uid="{41E9A6D7-AD43-4FD5-A591-BE3A53840E26}"/>
    <cellStyle name="Обычный 2 2 2 3 2 3" xfId="1470" xr:uid="{41E9A6D7-AD43-4FD5-A591-BE3A53840E26}"/>
    <cellStyle name="Обычный 2 2 2 3 2 3 2" xfId="4465" xr:uid="{41E9A6D7-AD43-4FD5-A591-BE3A53840E26}"/>
    <cellStyle name="Обычный 2 2 2 3 2 4" xfId="673" xr:uid="{41E9A6D7-AD43-4FD5-A591-BE3A53840E26}"/>
    <cellStyle name="Обычный 2 2 2 3 2 4 2" xfId="3672" xr:uid="{41E9A6D7-AD43-4FD5-A591-BE3A53840E26}"/>
    <cellStyle name="Обычный 2 2 2 3 2 5" xfId="2525" xr:uid="{41E9A6D7-AD43-4FD5-A591-BE3A53840E26}"/>
    <cellStyle name="Обычный 2 2 2 3 2 5 2" xfId="5519" xr:uid="{41E9A6D7-AD43-4FD5-A591-BE3A53840E26}"/>
    <cellStyle name="Обычный 2 2 2 3 2 6" xfId="3224" xr:uid="{41E9A6D7-AD43-4FD5-A591-BE3A53840E26}"/>
    <cellStyle name="Обычный 2 2 2 3 3" xfId="273" xr:uid="{41E9A6D7-AD43-4FD5-A591-BE3A53840E26}"/>
    <cellStyle name="Обычный 2 2 2 3 3 2" xfId="1040" xr:uid="{41E9A6D7-AD43-4FD5-A591-BE3A53840E26}"/>
    <cellStyle name="Обычный 2 2 2 3 3 2 2" xfId="4035" xr:uid="{41E9A6D7-AD43-4FD5-A591-BE3A53840E26}"/>
    <cellStyle name="Обычный 2 2 2 3 3 3" xfId="2789" xr:uid="{41E9A6D7-AD43-4FD5-A591-BE3A53840E26}"/>
    <cellStyle name="Обычный 2 2 2 3 3 3 2" xfId="5783" xr:uid="{41E9A6D7-AD43-4FD5-A591-BE3A53840E26}"/>
    <cellStyle name="Обычный 2 2 2 3 3 4" xfId="3296" xr:uid="{41E9A6D7-AD43-4FD5-A591-BE3A53840E26}"/>
    <cellStyle name="Обычный 2 2 2 3 4" xfId="418" xr:uid="{41E9A6D7-AD43-4FD5-A591-BE3A53840E26}"/>
    <cellStyle name="Обычный 2 2 2 3 4 2" xfId="1398" xr:uid="{41E9A6D7-AD43-4FD5-A591-BE3A53840E26}"/>
    <cellStyle name="Обычный 2 2 2 3 4 2 2" xfId="4393" xr:uid="{41E9A6D7-AD43-4FD5-A591-BE3A53840E26}"/>
    <cellStyle name="Обычный 2 2 2 3 4 3" xfId="3441" xr:uid="{41E9A6D7-AD43-4FD5-A591-BE3A53840E26}"/>
    <cellStyle name="Обычный 2 2 2 3 5" xfId="601" xr:uid="{41E9A6D7-AD43-4FD5-A591-BE3A53840E26}"/>
    <cellStyle name="Обычный 2 2 2 3 5 2" xfId="3600" xr:uid="{41E9A6D7-AD43-4FD5-A591-BE3A53840E26}"/>
    <cellStyle name="Обычный 2 2 2 3 6" xfId="2453" xr:uid="{41E9A6D7-AD43-4FD5-A591-BE3A53840E26}"/>
    <cellStyle name="Обычный 2 2 2 3 6 2" xfId="5447" xr:uid="{41E9A6D7-AD43-4FD5-A591-BE3A53840E26}"/>
    <cellStyle name="Обычный 2 2 2 3 7" xfId="3151" xr:uid="{41E9A6D7-AD43-4FD5-A591-BE3A53840E26}"/>
    <cellStyle name="Обычный 2 2 2 4" xfId="90" xr:uid="{41E9A6D7-AD43-4FD5-A591-BE3A53840E26}"/>
    <cellStyle name="Обычный 2 2 2 4 2" xfId="167" xr:uid="{41E9A6D7-AD43-4FD5-A591-BE3A53840E26}"/>
    <cellStyle name="Обычный 2 2 2 4 2 2" xfId="312" xr:uid="{41E9A6D7-AD43-4FD5-A591-BE3A53840E26}"/>
    <cellStyle name="Обычный 2 2 2 4 2 2 2" xfId="1075" xr:uid="{41E9A6D7-AD43-4FD5-A591-BE3A53840E26}"/>
    <cellStyle name="Обычный 2 2 2 4 2 2 2 2" xfId="4070" xr:uid="{41E9A6D7-AD43-4FD5-A591-BE3A53840E26}"/>
    <cellStyle name="Обычный 2 2 2 4 2 2 3" xfId="2825" xr:uid="{41E9A6D7-AD43-4FD5-A591-BE3A53840E26}"/>
    <cellStyle name="Обычный 2 2 2 4 2 2 3 2" xfId="5819" xr:uid="{41E9A6D7-AD43-4FD5-A591-BE3A53840E26}"/>
    <cellStyle name="Обычный 2 2 2 4 2 2 4" xfId="3335" xr:uid="{41E9A6D7-AD43-4FD5-A591-BE3A53840E26}"/>
    <cellStyle name="Обычный 2 2 2 4 2 3" xfId="1434" xr:uid="{41E9A6D7-AD43-4FD5-A591-BE3A53840E26}"/>
    <cellStyle name="Обычный 2 2 2 4 2 3 2" xfId="4429" xr:uid="{41E9A6D7-AD43-4FD5-A591-BE3A53840E26}"/>
    <cellStyle name="Обычный 2 2 2 4 2 4" xfId="637" xr:uid="{41E9A6D7-AD43-4FD5-A591-BE3A53840E26}"/>
    <cellStyle name="Обычный 2 2 2 4 2 4 2" xfId="3636" xr:uid="{41E9A6D7-AD43-4FD5-A591-BE3A53840E26}"/>
    <cellStyle name="Обычный 2 2 2 4 2 5" xfId="2489" xr:uid="{41E9A6D7-AD43-4FD5-A591-BE3A53840E26}"/>
    <cellStyle name="Обычный 2 2 2 4 2 5 2" xfId="5483" xr:uid="{41E9A6D7-AD43-4FD5-A591-BE3A53840E26}"/>
    <cellStyle name="Обычный 2 2 2 4 2 6" xfId="3190" xr:uid="{41E9A6D7-AD43-4FD5-A591-BE3A53840E26}"/>
    <cellStyle name="Обычный 2 2 2 4 3" xfId="237" xr:uid="{41E9A6D7-AD43-4FD5-A591-BE3A53840E26}"/>
    <cellStyle name="Обычный 2 2 2 4 3 2" xfId="1008" xr:uid="{41E9A6D7-AD43-4FD5-A591-BE3A53840E26}"/>
    <cellStyle name="Обычный 2 2 2 4 3 2 2" xfId="4003" xr:uid="{41E9A6D7-AD43-4FD5-A591-BE3A53840E26}"/>
    <cellStyle name="Обычный 2 2 2 4 3 3" xfId="2754" xr:uid="{41E9A6D7-AD43-4FD5-A591-BE3A53840E26}"/>
    <cellStyle name="Обычный 2 2 2 4 3 3 2" xfId="5748" xr:uid="{41E9A6D7-AD43-4FD5-A591-BE3A53840E26}"/>
    <cellStyle name="Обычный 2 2 2 4 3 4" xfId="3260" xr:uid="{41E9A6D7-AD43-4FD5-A591-BE3A53840E26}"/>
    <cellStyle name="Обычный 2 2 2 4 4" xfId="382" xr:uid="{41E9A6D7-AD43-4FD5-A591-BE3A53840E26}"/>
    <cellStyle name="Обычный 2 2 2 4 4 2" xfId="1363" xr:uid="{41E9A6D7-AD43-4FD5-A591-BE3A53840E26}"/>
    <cellStyle name="Обычный 2 2 2 4 4 2 2" xfId="4358" xr:uid="{41E9A6D7-AD43-4FD5-A591-BE3A53840E26}"/>
    <cellStyle name="Обычный 2 2 2 4 4 3" xfId="3405" xr:uid="{41E9A6D7-AD43-4FD5-A591-BE3A53840E26}"/>
    <cellStyle name="Обычный 2 2 2 4 5" xfId="566" xr:uid="{41E9A6D7-AD43-4FD5-A591-BE3A53840E26}"/>
    <cellStyle name="Обычный 2 2 2 4 5 2" xfId="3565" xr:uid="{41E9A6D7-AD43-4FD5-A591-BE3A53840E26}"/>
    <cellStyle name="Обычный 2 2 2 4 6" xfId="2417" xr:uid="{41E9A6D7-AD43-4FD5-A591-BE3A53840E26}"/>
    <cellStyle name="Обычный 2 2 2 4 6 2" xfId="5411" xr:uid="{41E9A6D7-AD43-4FD5-A591-BE3A53840E26}"/>
    <cellStyle name="Обычный 2 2 2 4 7" xfId="3115" xr:uid="{41E9A6D7-AD43-4FD5-A591-BE3A53840E26}"/>
    <cellStyle name="Обычный 2 2 2 5" xfId="150" xr:uid="{41E9A6D7-AD43-4FD5-A591-BE3A53840E26}"/>
    <cellStyle name="Обычный 2 2 2 5 2" xfId="295" xr:uid="{41E9A6D7-AD43-4FD5-A591-BE3A53840E26}"/>
    <cellStyle name="Обычный 2 2 2 5 2 2" xfId="1116" xr:uid="{3038131D-C2ED-4367-8C44-807A8F1D566D}"/>
    <cellStyle name="Обычный 2 2 2 5 2 2 2" xfId="4111" xr:uid="{3038131D-C2ED-4367-8C44-807A8F1D566D}"/>
    <cellStyle name="Обычный 2 2 2 5 2 3" xfId="2867" xr:uid="{3038131D-C2ED-4367-8C44-807A8F1D566D}"/>
    <cellStyle name="Обычный 2 2 2 5 2 3 2" xfId="5861" xr:uid="{3038131D-C2ED-4367-8C44-807A8F1D566D}"/>
    <cellStyle name="Обычный 2 2 2 5 2 4" xfId="3318" xr:uid="{41E9A6D7-AD43-4FD5-A591-BE3A53840E26}"/>
    <cellStyle name="Обычный 2 2 2 5 3" xfId="1476" xr:uid="{3038131D-C2ED-4367-8C44-807A8F1D566D}"/>
    <cellStyle name="Обычный 2 2 2 5 3 2" xfId="4471" xr:uid="{3038131D-C2ED-4367-8C44-807A8F1D566D}"/>
    <cellStyle name="Обычный 2 2 2 5 4" xfId="680" xr:uid="{3038131D-C2ED-4367-8C44-807A8F1D566D}"/>
    <cellStyle name="Обычный 2 2 2 5 4 2" xfId="3678" xr:uid="{3038131D-C2ED-4367-8C44-807A8F1D566D}"/>
    <cellStyle name="Обычный 2 2 2 5 5" xfId="2531" xr:uid="{3038131D-C2ED-4367-8C44-807A8F1D566D}"/>
    <cellStyle name="Обычный 2 2 2 5 5 2" xfId="5525" xr:uid="{3038131D-C2ED-4367-8C44-807A8F1D566D}"/>
    <cellStyle name="Обычный 2 2 2 5 6" xfId="3173" xr:uid="{41E9A6D7-AD43-4FD5-A591-BE3A53840E26}"/>
    <cellStyle name="Обычный 2 2 2 6" xfId="219" xr:uid="{41E9A6D7-AD43-4FD5-A591-BE3A53840E26}"/>
    <cellStyle name="Обычный 2 2 2 6 2" xfId="1057" xr:uid="{41E9A6D7-AD43-4FD5-A591-BE3A53840E26}"/>
    <cellStyle name="Обычный 2 2 2 6 2 2" xfId="2807" xr:uid="{41E9A6D7-AD43-4FD5-A591-BE3A53840E26}"/>
    <cellStyle name="Обычный 2 2 2 6 2 2 2" xfId="5801" xr:uid="{41E9A6D7-AD43-4FD5-A591-BE3A53840E26}"/>
    <cellStyle name="Обычный 2 2 2 6 2 3" xfId="4052" xr:uid="{41E9A6D7-AD43-4FD5-A591-BE3A53840E26}"/>
    <cellStyle name="Обычный 2 2 2 6 3" xfId="1416" xr:uid="{41E9A6D7-AD43-4FD5-A591-BE3A53840E26}"/>
    <cellStyle name="Обычный 2 2 2 6 3 2" xfId="4411" xr:uid="{41E9A6D7-AD43-4FD5-A591-BE3A53840E26}"/>
    <cellStyle name="Обычный 2 2 2 6 4" xfId="619" xr:uid="{41E9A6D7-AD43-4FD5-A591-BE3A53840E26}"/>
    <cellStyle name="Обычный 2 2 2 6 4 2" xfId="3618" xr:uid="{41E9A6D7-AD43-4FD5-A591-BE3A53840E26}"/>
    <cellStyle name="Обычный 2 2 2 6 5" xfId="2471" xr:uid="{41E9A6D7-AD43-4FD5-A591-BE3A53840E26}"/>
    <cellStyle name="Обычный 2 2 2 6 5 2" xfId="5465" xr:uid="{41E9A6D7-AD43-4FD5-A591-BE3A53840E26}"/>
    <cellStyle name="Обычный 2 2 2 6 6" xfId="3242" xr:uid="{41E9A6D7-AD43-4FD5-A591-BE3A53840E26}"/>
    <cellStyle name="Обычный 2 2 2 7" xfId="364" xr:uid="{41E9A6D7-AD43-4FD5-A591-BE3A53840E26}"/>
    <cellStyle name="Обычный 2 2 2 7 2" xfId="1140" xr:uid="{3038131D-C2ED-4367-8C44-807A8F1D566D}"/>
    <cellStyle name="Обычный 2 2 2 7 2 2" xfId="4135" xr:uid="{3038131D-C2ED-4367-8C44-807A8F1D566D}"/>
    <cellStyle name="Обычный 2 2 2 7 3" xfId="1580" xr:uid="{3038131D-C2ED-4367-8C44-807A8F1D566D}"/>
    <cellStyle name="Обычный 2 2 2 7 3 2" xfId="4575" xr:uid="{3038131D-C2ED-4367-8C44-807A8F1D566D}"/>
    <cellStyle name="Обычный 2 2 2 7 4" xfId="786" xr:uid="{3038131D-C2ED-4367-8C44-807A8F1D566D}"/>
    <cellStyle name="Обычный 2 2 2 7 4 2" xfId="3782" xr:uid="{3038131D-C2ED-4367-8C44-807A8F1D566D}"/>
    <cellStyle name="Обычный 2 2 2 7 5" xfId="2971" xr:uid="{3038131D-C2ED-4367-8C44-807A8F1D566D}"/>
    <cellStyle name="Обычный 2 2 2 7 5 2" xfId="5965" xr:uid="{3038131D-C2ED-4367-8C44-807A8F1D566D}"/>
    <cellStyle name="Обычный 2 2 2 7 6" xfId="3387" xr:uid="{41E9A6D7-AD43-4FD5-A591-BE3A53840E26}"/>
    <cellStyle name="Обычный 2 2 2 8" xfId="913" xr:uid="{3038131D-C2ED-4367-8C44-807A8F1D566D}"/>
    <cellStyle name="Обычный 2 2 2 8 2" xfId="2636" xr:uid="{3038131D-C2ED-4367-8C44-807A8F1D566D}"/>
    <cellStyle name="Обычный 2 2 2 8 2 2" xfId="5630" xr:uid="{3038131D-C2ED-4367-8C44-807A8F1D566D}"/>
    <cellStyle name="Обычный 2 2 2 8 3" xfId="3908" xr:uid="{3038131D-C2ED-4367-8C44-807A8F1D566D}"/>
    <cellStyle name="Обычный 2 2 2 9" xfId="1245" xr:uid="{3038131D-C2ED-4367-8C44-807A8F1D566D}"/>
    <cellStyle name="Обычный 2 2 2 9 2" xfId="4240" xr:uid="{3038131D-C2ED-4367-8C44-807A8F1D566D}"/>
    <cellStyle name="Обычный 2 2 3" xfId="104" xr:uid="{00000000-0005-0000-0000-00003B000000}"/>
    <cellStyle name="Обычный 2 2 3 2" xfId="180" xr:uid="{00000000-0005-0000-0000-00003B000000}"/>
    <cellStyle name="Обычный 2 2 3 2 2" xfId="325" xr:uid="{00000000-0005-0000-0000-00003B000000}"/>
    <cellStyle name="Обычный 2 2 3 2 2 2" xfId="1089" xr:uid="{00000000-0005-0000-0000-00003B000000}"/>
    <cellStyle name="Обычный 2 2 3 2 2 2 2" xfId="4084" xr:uid="{00000000-0005-0000-0000-00003B000000}"/>
    <cellStyle name="Обычный 2 2 3 2 2 3" xfId="2839" xr:uid="{00000000-0005-0000-0000-00003B000000}"/>
    <cellStyle name="Обычный 2 2 3 2 2 3 2" xfId="5833" xr:uid="{00000000-0005-0000-0000-00003B000000}"/>
    <cellStyle name="Обычный 2 2 3 2 2 4" xfId="3348" xr:uid="{00000000-0005-0000-0000-00003B000000}"/>
    <cellStyle name="Обычный 2 2 3 2 3" xfId="1448" xr:uid="{00000000-0005-0000-0000-00003B000000}"/>
    <cellStyle name="Обычный 2 2 3 2 3 2" xfId="4443" xr:uid="{00000000-0005-0000-0000-00003B000000}"/>
    <cellStyle name="Обычный 2 2 3 2 4" xfId="651" xr:uid="{00000000-0005-0000-0000-00003B000000}"/>
    <cellStyle name="Обычный 2 2 3 2 4 2" xfId="3650" xr:uid="{00000000-0005-0000-0000-00003B000000}"/>
    <cellStyle name="Обычный 2 2 3 2 5" xfId="2503" xr:uid="{00000000-0005-0000-0000-00003B000000}"/>
    <cellStyle name="Обычный 2 2 3 2 5 2" xfId="5497" xr:uid="{00000000-0005-0000-0000-00003B000000}"/>
    <cellStyle name="Обычный 2 2 3 2 6" xfId="3203" xr:uid="{00000000-0005-0000-0000-00003B000000}"/>
    <cellStyle name="Обычный 2 2 3 3" xfId="251" xr:uid="{00000000-0005-0000-0000-00003B000000}"/>
    <cellStyle name="Обычный 2 2 3 3 2" xfId="1020" xr:uid="{00000000-0005-0000-0000-00003B000000}"/>
    <cellStyle name="Обычный 2 2 3 3 2 2" xfId="4015" xr:uid="{00000000-0005-0000-0000-00003B000000}"/>
    <cellStyle name="Обычный 2 2 3 3 3" xfId="2767" xr:uid="{00000000-0005-0000-0000-00003B000000}"/>
    <cellStyle name="Обычный 2 2 3 3 3 2" xfId="5761" xr:uid="{00000000-0005-0000-0000-00003B000000}"/>
    <cellStyle name="Обычный 2 2 3 3 4" xfId="3274" xr:uid="{00000000-0005-0000-0000-00003B000000}"/>
    <cellStyle name="Обычный 2 2 3 4" xfId="396" xr:uid="{00000000-0005-0000-0000-00003B000000}"/>
    <cellStyle name="Обычный 2 2 3 4 2" xfId="1376" xr:uid="{00000000-0005-0000-0000-00003B000000}"/>
    <cellStyle name="Обычный 2 2 3 4 2 2" xfId="4371" xr:uid="{00000000-0005-0000-0000-00003B000000}"/>
    <cellStyle name="Обычный 2 2 3 4 3" xfId="3419" xr:uid="{00000000-0005-0000-0000-00003B000000}"/>
    <cellStyle name="Обычный 2 2 3 5" xfId="579" xr:uid="{00000000-0005-0000-0000-00003B000000}"/>
    <cellStyle name="Обычный 2 2 3 5 2" xfId="3578" xr:uid="{00000000-0005-0000-0000-00003B000000}"/>
    <cellStyle name="Обычный 2 2 3 6" xfId="2431" xr:uid="{00000000-0005-0000-0000-00003B000000}"/>
    <cellStyle name="Обычный 2 2 3 6 2" xfId="5425" xr:uid="{00000000-0005-0000-0000-00003B000000}"/>
    <cellStyle name="Обычный 2 2 3 7" xfId="3129" xr:uid="{00000000-0005-0000-0000-00003B000000}"/>
    <cellStyle name="Обычный 2 2 4" xfId="124" xr:uid="{00000000-0005-0000-0000-00003B000000}"/>
    <cellStyle name="Обычный 2 2 4 2" xfId="197" xr:uid="{00000000-0005-0000-0000-00003B000000}"/>
    <cellStyle name="Обычный 2 2 4 2 2" xfId="342" xr:uid="{00000000-0005-0000-0000-00003B000000}"/>
    <cellStyle name="Обычный 2 2 4 2 2 2" xfId="1107" xr:uid="{00000000-0005-0000-0000-00003B000000}"/>
    <cellStyle name="Обычный 2 2 4 2 2 2 2" xfId="4102" xr:uid="{00000000-0005-0000-0000-00003B000000}"/>
    <cellStyle name="Обычный 2 2 4 2 2 3" xfId="2857" xr:uid="{00000000-0005-0000-0000-00003B000000}"/>
    <cellStyle name="Обычный 2 2 4 2 2 3 2" xfId="5851" xr:uid="{00000000-0005-0000-0000-00003B000000}"/>
    <cellStyle name="Обычный 2 2 4 2 2 4" xfId="3365" xr:uid="{00000000-0005-0000-0000-00003B000000}"/>
    <cellStyle name="Обычный 2 2 4 2 3" xfId="1466" xr:uid="{00000000-0005-0000-0000-00003B000000}"/>
    <cellStyle name="Обычный 2 2 4 2 3 2" xfId="4461" xr:uid="{00000000-0005-0000-0000-00003B000000}"/>
    <cellStyle name="Обычный 2 2 4 2 4" xfId="669" xr:uid="{00000000-0005-0000-0000-00003B000000}"/>
    <cellStyle name="Обычный 2 2 4 2 4 2" xfId="3668" xr:uid="{00000000-0005-0000-0000-00003B000000}"/>
    <cellStyle name="Обычный 2 2 4 2 5" xfId="2521" xr:uid="{00000000-0005-0000-0000-00003B000000}"/>
    <cellStyle name="Обычный 2 2 4 2 5 2" xfId="5515" xr:uid="{00000000-0005-0000-0000-00003B000000}"/>
    <cellStyle name="Обычный 2 2 4 2 6" xfId="3220" xr:uid="{00000000-0005-0000-0000-00003B000000}"/>
    <cellStyle name="Обычный 2 2 4 3" xfId="269" xr:uid="{00000000-0005-0000-0000-00003B000000}"/>
    <cellStyle name="Обычный 2 2 4 3 2" xfId="1036" xr:uid="{00000000-0005-0000-0000-00003B000000}"/>
    <cellStyle name="Обычный 2 2 4 3 2 2" xfId="4031" xr:uid="{00000000-0005-0000-0000-00003B000000}"/>
    <cellStyle name="Обычный 2 2 4 3 3" xfId="2785" xr:uid="{00000000-0005-0000-0000-00003B000000}"/>
    <cellStyle name="Обычный 2 2 4 3 3 2" xfId="5779" xr:uid="{00000000-0005-0000-0000-00003B000000}"/>
    <cellStyle name="Обычный 2 2 4 3 4" xfId="3292" xr:uid="{00000000-0005-0000-0000-00003B000000}"/>
    <cellStyle name="Обычный 2 2 4 4" xfId="414" xr:uid="{00000000-0005-0000-0000-00003B000000}"/>
    <cellStyle name="Обычный 2 2 4 4 2" xfId="1394" xr:uid="{00000000-0005-0000-0000-00003B000000}"/>
    <cellStyle name="Обычный 2 2 4 4 2 2" xfId="4389" xr:uid="{00000000-0005-0000-0000-00003B000000}"/>
    <cellStyle name="Обычный 2 2 4 4 3" xfId="3437" xr:uid="{00000000-0005-0000-0000-00003B000000}"/>
    <cellStyle name="Обычный 2 2 4 5" xfId="597" xr:uid="{00000000-0005-0000-0000-00003B000000}"/>
    <cellStyle name="Обычный 2 2 4 5 2" xfId="3596" xr:uid="{00000000-0005-0000-0000-00003B000000}"/>
    <cellStyle name="Обычный 2 2 4 6" xfId="2449" xr:uid="{00000000-0005-0000-0000-00003B000000}"/>
    <cellStyle name="Обычный 2 2 4 6 2" xfId="5443" xr:uid="{00000000-0005-0000-0000-00003B000000}"/>
    <cellStyle name="Обычный 2 2 4 7" xfId="3147" xr:uid="{00000000-0005-0000-0000-00003B000000}"/>
    <cellStyle name="Обычный 2 2 5" xfId="85" xr:uid="{00000000-0005-0000-0000-00003B000000}"/>
    <cellStyle name="Обычный 2 2 5 2" xfId="163" xr:uid="{00000000-0005-0000-0000-00003B000000}"/>
    <cellStyle name="Обычный 2 2 5 2 2" xfId="308" xr:uid="{00000000-0005-0000-0000-00003B000000}"/>
    <cellStyle name="Обычный 2 2 5 2 2 2" xfId="1071" xr:uid="{00000000-0005-0000-0000-00003B000000}"/>
    <cellStyle name="Обычный 2 2 5 2 2 2 2" xfId="4066" xr:uid="{00000000-0005-0000-0000-00003B000000}"/>
    <cellStyle name="Обычный 2 2 5 2 2 3" xfId="2821" xr:uid="{00000000-0005-0000-0000-00003B000000}"/>
    <cellStyle name="Обычный 2 2 5 2 2 3 2" xfId="5815" xr:uid="{00000000-0005-0000-0000-00003B000000}"/>
    <cellStyle name="Обычный 2 2 5 2 2 4" xfId="3331" xr:uid="{00000000-0005-0000-0000-00003B000000}"/>
    <cellStyle name="Обычный 2 2 5 2 3" xfId="1430" xr:uid="{00000000-0005-0000-0000-00003B000000}"/>
    <cellStyle name="Обычный 2 2 5 2 3 2" xfId="4425" xr:uid="{00000000-0005-0000-0000-00003B000000}"/>
    <cellStyle name="Обычный 2 2 5 2 4" xfId="633" xr:uid="{00000000-0005-0000-0000-00003B000000}"/>
    <cellStyle name="Обычный 2 2 5 2 4 2" xfId="3632" xr:uid="{00000000-0005-0000-0000-00003B000000}"/>
    <cellStyle name="Обычный 2 2 5 2 5" xfId="2485" xr:uid="{00000000-0005-0000-0000-00003B000000}"/>
    <cellStyle name="Обычный 2 2 5 2 5 2" xfId="5479" xr:uid="{00000000-0005-0000-0000-00003B000000}"/>
    <cellStyle name="Обычный 2 2 5 2 6" xfId="3186" xr:uid="{00000000-0005-0000-0000-00003B000000}"/>
    <cellStyle name="Обычный 2 2 5 3" xfId="233" xr:uid="{00000000-0005-0000-0000-00003B000000}"/>
    <cellStyle name="Обычный 2 2 5 3 2" xfId="1004" xr:uid="{00000000-0005-0000-0000-00003B000000}"/>
    <cellStyle name="Обычный 2 2 5 3 2 2" xfId="3999" xr:uid="{00000000-0005-0000-0000-00003B000000}"/>
    <cellStyle name="Обычный 2 2 5 3 3" xfId="2750" xr:uid="{00000000-0005-0000-0000-00003B000000}"/>
    <cellStyle name="Обычный 2 2 5 3 3 2" xfId="5744" xr:uid="{00000000-0005-0000-0000-00003B000000}"/>
    <cellStyle name="Обычный 2 2 5 3 4" xfId="3256" xr:uid="{00000000-0005-0000-0000-00003B000000}"/>
    <cellStyle name="Обычный 2 2 5 4" xfId="378" xr:uid="{00000000-0005-0000-0000-00003B000000}"/>
    <cellStyle name="Обычный 2 2 5 4 2" xfId="1359" xr:uid="{00000000-0005-0000-0000-00003B000000}"/>
    <cellStyle name="Обычный 2 2 5 4 2 2" xfId="4354" xr:uid="{00000000-0005-0000-0000-00003B000000}"/>
    <cellStyle name="Обычный 2 2 5 4 3" xfId="3401" xr:uid="{00000000-0005-0000-0000-00003B000000}"/>
    <cellStyle name="Обычный 2 2 5 5" xfId="562" xr:uid="{00000000-0005-0000-0000-00003B000000}"/>
    <cellStyle name="Обычный 2 2 5 5 2" xfId="3561" xr:uid="{00000000-0005-0000-0000-00003B000000}"/>
    <cellStyle name="Обычный 2 2 5 6" xfId="2413" xr:uid="{00000000-0005-0000-0000-00003B000000}"/>
    <cellStyle name="Обычный 2 2 5 6 2" xfId="5407" xr:uid="{00000000-0005-0000-0000-00003B000000}"/>
    <cellStyle name="Обычный 2 2 5 7" xfId="3111" xr:uid="{00000000-0005-0000-0000-00003B000000}"/>
    <cellStyle name="Обычный 2 2 6" xfId="132" xr:uid="{3C70B9DC-0251-4110-88A4-4911E9B3B64F}"/>
    <cellStyle name="Обычный 2 2 6 2" xfId="277" xr:uid="{3C70B9DC-0251-4110-88A4-4911E9B3B64F}"/>
    <cellStyle name="Обычный 2 2 6 2 2" xfId="1114" xr:uid="{05EED0EA-253E-4FD7-9044-056967BF011F}"/>
    <cellStyle name="Обычный 2 2 6 2 2 2" xfId="4109" xr:uid="{05EED0EA-253E-4FD7-9044-056967BF011F}"/>
    <cellStyle name="Обычный 2 2 6 2 3" xfId="2865" xr:uid="{05EED0EA-253E-4FD7-9044-056967BF011F}"/>
    <cellStyle name="Обычный 2 2 6 2 3 2" xfId="5859" xr:uid="{05EED0EA-253E-4FD7-9044-056967BF011F}"/>
    <cellStyle name="Обычный 2 2 6 2 4" xfId="3300" xr:uid="{3C70B9DC-0251-4110-88A4-4911E9B3B64F}"/>
    <cellStyle name="Обычный 2 2 6 3" xfId="1474" xr:uid="{05EED0EA-253E-4FD7-9044-056967BF011F}"/>
    <cellStyle name="Обычный 2 2 6 3 2" xfId="4469" xr:uid="{05EED0EA-253E-4FD7-9044-056967BF011F}"/>
    <cellStyle name="Обычный 2 2 6 4" xfId="678" xr:uid="{05EED0EA-253E-4FD7-9044-056967BF011F}"/>
    <cellStyle name="Обычный 2 2 6 4 2" xfId="3676" xr:uid="{05EED0EA-253E-4FD7-9044-056967BF011F}"/>
    <cellStyle name="Обычный 2 2 6 5" xfId="2529" xr:uid="{05EED0EA-253E-4FD7-9044-056967BF011F}"/>
    <cellStyle name="Обычный 2 2 6 5 2" xfId="5523" xr:uid="{05EED0EA-253E-4FD7-9044-056967BF011F}"/>
    <cellStyle name="Обычный 2 2 6 6" xfId="3155" xr:uid="{3C70B9DC-0251-4110-88A4-4911E9B3B64F}"/>
    <cellStyle name="Обычный 2 2 7" xfId="64" xr:uid="{00000000-0005-0000-0000-00003B000000}"/>
    <cellStyle name="Обычный 2 2 7 2" xfId="1053" xr:uid="{00000000-0005-0000-0000-00003B000000}"/>
    <cellStyle name="Обычный 2 2 7 2 2" xfId="2803" xr:uid="{00000000-0005-0000-0000-00003B000000}"/>
    <cellStyle name="Обычный 2 2 7 2 2 2" xfId="5797" xr:uid="{00000000-0005-0000-0000-00003B000000}"/>
    <cellStyle name="Обычный 2 2 7 2 3" xfId="4048" xr:uid="{00000000-0005-0000-0000-00003B000000}"/>
    <cellStyle name="Обычный 2 2 7 3" xfId="1412" xr:uid="{00000000-0005-0000-0000-00003B000000}"/>
    <cellStyle name="Обычный 2 2 7 3 2" xfId="4407" xr:uid="{00000000-0005-0000-0000-00003B000000}"/>
    <cellStyle name="Обычный 2 2 7 4" xfId="615" xr:uid="{00000000-0005-0000-0000-00003B000000}"/>
    <cellStyle name="Обычный 2 2 7 4 2" xfId="3614" xr:uid="{00000000-0005-0000-0000-00003B000000}"/>
    <cellStyle name="Обычный 2 2 7 5" xfId="2467" xr:uid="{00000000-0005-0000-0000-00003B000000}"/>
    <cellStyle name="Обычный 2 2 7 5 2" xfId="5461" xr:uid="{00000000-0005-0000-0000-00003B000000}"/>
    <cellStyle name="Обычный 2 2 7 6" xfId="3093" xr:uid="{00000000-0005-0000-0000-00003B000000}"/>
    <cellStyle name="Обычный 2 2 8" xfId="215" xr:uid="{00000000-0005-0000-0000-00003B000000}"/>
    <cellStyle name="Обычный 2 2 8 2" xfId="1138" xr:uid="{05EED0EA-253E-4FD7-9044-056967BF011F}"/>
    <cellStyle name="Обычный 2 2 8 2 2" xfId="4133" xr:uid="{05EED0EA-253E-4FD7-9044-056967BF011F}"/>
    <cellStyle name="Обычный 2 2 8 3" xfId="1578" xr:uid="{05EED0EA-253E-4FD7-9044-056967BF011F}"/>
    <cellStyle name="Обычный 2 2 8 3 2" xfId="4573" xr:uid="{05EED0EA-253E-4FD7-9044-056967BF011F}"/>
    <cellStyle name="Обычный 2 2 8 4" xfId="784" xr:uid="{05EED0EA-253E-4FD7-9044-056967BF011F}"/>
    <cellStyle name="Обычный 2 2 8 4 2" xfId="3780" xr:uid="{05EED0EA-253E-4FD7-9044-056967BF011F}"/>
    <cellStyle name="Обычный 2 2 8 5" xfId="2969" xr:uid="{05EED0EA-253E-4FD7-9044-056967BF011F}"/>
    <cellStyle name="Обычный 2 2 8 5 2" xfId="5963" xr:uid="{05EED0EA-253E-4FD7-9044-056967BF011F}"/>
    <cellStyle name="Обычный 2 2 8 6" xfId="3238" xr:uid="{00000000-0005-0000-0000-00003B000000}"/>
    <cellStyle name="Обычный 2 2 9" xfId="360" xr:uid="{00000000-0005-0000-0000-00003B000000}"/>
    <cellStyle name="Обычный 2 2 9 2" xfId="910" xr:uid="{05EED0EA-253E-4FD7-9044-056967BF011F}"/>
    <cellStyle name="Обычный 2 2 9 2 2" xfId="3905" xr:uid="{05EED0EA-253E-4FD7-9044-056967BF011F}"/>
    <cellStyle name="Обычный 2 2 9 3" xfId="2634" xr:uid="{05EED0EA-253E-4FD7-9044-056967BF011F}"/>
    <cellStyle name="Обычный 2 2 9 3 2" xfId="5628" xr:uid="{05EED0EA-253E-4FD7-9044-056967BF011F}"/>
    <cellStyle name="Обычный 2 2 9 4" xfId="3383" xr:uid="{00000000-0005-0000-0000-00003B000000}"/>
    <cellStyle name="Обычный 2 3" xfId="7" xr:uid="{3C70B9DC-0251-4110-88A4-4911E9B3B64F}"/>
    <cellStyle name="Обычный 2 3 2" xfId="133" xr:uid="{3C70B9DC-0251-4110-88A4-4911E9B3B64F}"/>
    <cellStyle name="Обычный 2 3 2 2" xfId="278" xr:uid="{3C70B9DC-0251-4110-88A4-4911E9B3B64F}"/>
    <cellStyle name="Обычный 2 3 2 2 2" xfId="1123" xr:uid="{00000000-0005-0000-0000-00003A000000}"/>
    <cellStyle name="Обычный 2 3 2 2 2 2" xfId="4118" xr:uid="{00000000-0005-0000-0000-00003A000000}"/>
    <cellStyle name="Обычный 2 3 2 2 3" xfId="2876" xr:uid="{00000000-0005-0000-0000-00003A000000}"/>
    <cellStyle name="Обычный 2 3 2 2 3 2" xfId="5870" xr:uid="{00000000-0005-0000-0000-00003A000000}"/>
    <cellStyle name="Обычный 2 3 2 2 4" xfId="3301" xr:uid="{3C70B9DC-0251-4110-88A4-4911E9B3B64F}"/>
    <cellStyle name="Обычный 2 3 2 3" xfId="1485" xr:uid="{00000000-0005-0000-0000-00003A000000}"/>
    <cellStyle name="Обычный 2 3 2 3 2" xfId="4480" xr:uid="{00000000-0005-0000-0000-00003A000000}"/>
    <cellStyle name="Обычный 2 3 2 4" xfId="690" xr:uid="{00000000-0005-0000-0000-00003A000000}"/>
    <cellStyle name="Обычный 2 3 2 4 2" xfId="3687" xr:uid="{00000000-0005-0000-0000-00003A000000}"/>
    <cellStyle name="Обычный 2 3 2 5" xfId="2541" xr:uid="{00000000-0005-0000-0000-00003A000000}"/>
    <cellStyle name="Обычный 2 3 2 5 2" xfId="5535" xr:uid="{00000000-0005-0000-0000-00003A000000}"/>
    <cellStyle name="Обычный 2 3 2 6" xfId="3156" xr:uid="{3C70B9DC-0251-4110-88A4-4911E9B3B64F}"/>
    <cellStyle name="Обычный 2 3 3" xfId="97" xr:uid="{00000000-0005-0000-0000-00003A000000}"/>
    <cellStyle name="Обычный 2 3 3 2" xfId="1082" xr:uid="{00000000-0005-0000-0000-00003A000000}"/>
    <cellStyle name="Обычный 2 3 3 2 2" xfId="2832" xr:uid="{00000000-0005-0000-0000-00003A000000}"/>
    <cellStyle name="Обычный 2 3 3 2 2 2" xfId="5826" xr:uid="{00000000-0005-0000-0000-00003A000000}"/>
    <cellStyle name="Обычный 2 3 3 2 3" xfId="4077" xr:uid="{00000000-0005-0000-0000-00003A000000}"/>
    <cellStyle name="Обычный 2 3 3 3" xfId="1441" xr:uid="{00000000-0005-0000-0000-00003A000000}"/>
    <cellStyle name="Обычный 2 3 3 3 2" xfId="4436" xr:uid="{00000000-0005-0000-0000-00003A000000}"/>
    <cellStyle name="Обычный 2 3 3 4" xfId="644" xr:uid="{00000000-0005-0000-0000-00003A000000}"/>
    <cellStyle name="Обычный 2 3 3 4 2" xfId="3643" xr:uid="{00000000-0005-0000-0000-00003A000000}"/>
    <cellStyle name="Обычный 2 3 3 5" xfId="2496" xr:uid="{00000000-0005-0000-0000-00003A000000}"/>
    <cellStyle name="Обычный 2 3 3 5 2" xfId="5490" xr:uid="{00000000-0005-0000-0000-00003A000000}"/>
    <cellStyle name="Обычный 2 3 3 6" xfId="3122" xr:uid="{00000000-0005-0000-0000-00003A000000}"/>
    <cellStyle name="Обычный 2 3 4" xfId="244" xr:uid="{00000000-0005-0000-0000-00003A000000}"/>
    <cellStyle name="Обычный 2 3 4 2" xfId="1150" xr:uid="{00000000-0005-0000-0000-00003A000000}"/>
    <cellStyle name="Обычный 2 3 4 2 2" xfId="4145" xr:uid="{00000000-0005-0000-0000-00003A000000}"/>
    <cellStyle name="Обычный 2 3 4 3" xfId="1590" xr:uid="{00000000-0005-0000-0000-00003A000000}"/>
    <cellStyle name="Обычный 2 3 4 3 2" xfId="4585" xr:uid="{00000000-0005-0000-0000-00003A000000}"/>
    <cellStyle name="Обычный 2 3 4 4" xfId="796" xr:uid="{00000000-0005-0000-0000-00003A000000}"/>
    <cellStyle name="Обычный 2 3 4 4 2" xfId="3792" xr:uid="{00000000-0005-0000-0000-00003A000000}"/>
    <cellStyle name="Обычный 2 3 4 5" xfId="2981" xr:uid="{00000000-0005-0000-0000-00003A000000}"/>
    <cellStyle name="Обычный 2 3 4 5 2" xfId="5975" xr:uid="{00000000-0005-0000-0000-00003A000000}"/>
    <cellStyle name="Обычный 2 3 4 6" xfId="3267" xr:uid="{00000000-0005-0000-0000-00003A000000}"/>
    <cellStyle name="Обычный 2 3 5" xfId="389" xr:uid="{00000000-0005-0000-0000-00003A000000}"/>
    <cellStyle name="Обычный 2 3 5 2" xfId="943" xr:uid="{00000000-0005-0000-0000-00003A000000}"/>
    <cellStyle name="Обычный 2 3 5 2 2" xfId="3938" xr:uid="{00000000-0005-0000-0000-00003A000000}"/>
    <cellStyle name="Обычный 2 3 5 3" xfId="2646" xr:uid="{00000000-0005-0000-0000-00003A000000}"/>
    <cellStyle name="Обычный 2 3 5 3 2" xfId="5640" xr:uid="{00000000-0005-0000-0000-00003A000000}"/>
    <cellStyle name="Обычный 2 3 5 4" xfId="3412" xr:uid="{00000000-0005-0000-0000-00003A000000}"/>
    <cellStyle name="Обычный 2 3 6" xfId="1255" xr:uid="{00000000-0005-0000-0000-00003A000000}"/>
    <cellStyle name="Обычный 2 3 6 2" xfId="4250" xr:uid="{00000000-0005-0000-0000-00003A000000}"/>
    <cellStyle name="Обычный 2 3 7" xfId="453" xr:uid="{00000000-0005-0000-0000-00003A000000}"/>
    <cellStyle name="Обычный 2 3 7 2" xfId="3458" xr:uid="{00000000-0005-0000-0000-00003A000000}"/>
    <cellStyle name="Обычный 2 3 8" xfId="2424" xr:uid="{00000000-0005-0000-0000-00003A000000}"/>
    <cellStyle name="Обычный 2 3 8 2" xfId="5418" xr:uid="{00000000-0005-0000-0000-00003A000000}"/>
    <cellStyle name="Обычный 2 3 9" xfId="3078" xr:uid="{3C70B9DC-0251-4110-88A4-4911E9B3B64F}"/>
    <cellStyle name="Обычный 2 4" xfId="5" xr:uid="{3C70B9DC-0251-4110-88A4-4911E9B3B64F}"/>
    <cellStyle name="Обычный 2 4 2" xfId="131" xr:uid="{3C70B9DC-0251-4110-88A4-4911E9B3B64F}"/>
    <cellStyle name="Обычный 2 4 2 2" xfId="276" xr:uid="{3C70B9DC-0251-4110-88A4-4911E9B3B64F}"/>
    <cellStyle name="Обычный 2 4 2 2 2" xfId="3299" xr:uid="{3C70B9DC-0251-4110-88A4-4911E9B3B64F}"/>
    <cellStyle name="Обычный 2 4 2 3" xfId="682" xr:uid="{0ADC956C-1017-4FA9-83B6-D05E0F50A368}"/>
    <cellStyle name="Обычный 2 4 2 4" xfId="3154" xr:uid="{3C70B9DC-0251-4110-88A4-4911E9B3B64F}"/>
    <cellStyle name="Обычный 2 4 3" xfId="117" xr:uid="{00000000-0005-0000-0000-00003A000000}"/>
    <cellStyle name="Обычный 2 4 3 2" xfId="1100" xr:uid="{00000000-0005-0000-0000-00003A000000}"/>
    <cellStyle name="Обычный 2 4 3 2 2" xfId="2850" xr:uid="{00000000-0005-0000-0000-00003A000000}"/>
    <cellStyle name="Обычный 2 4 3 2 2 2" xfId="5844" xr:uid="{00000000-0005-0000-0000-00003A000000}"/>
    <cellStyle name="Обычный 2 4 3 2 3" xfId="4095" xr:uid="{00000000-0005-0000-0000-00003A000000}"/>
    <cellStyle name="Обычный 2 4 3 3" xfId="1459" xr:uid="{00000000-0005-0000-0000-00003A000000}"/>
    <cellStyle name="Обычный 2 4 3 3 2" xfId="4454" xr:uid="{00000000-0005-0000-0000-00003A000000}"/>
    <cellStyle name="Обычный 2 4 3 4" xfId="662" xr:uid="{00000000-0005-0000-0000-00003A000000}"/>
    <cellStyle name="Обычный 2 4 3 4 2" xfId="3661" xr:uid="{00000000-0005-0000-0000-00003A000000}"/>
    <cellStyle name="Обычный 2 4 3 5" xfId="2514" xr:uid="{00000000-0005-0000-0000-00003A000000}"/>
    <cellStyle name="Обычный 2 4 3 5 2" xfId="5508" xr:uid="{00000000-0005-0000-0000-00003A000000}"/>
    <cellStyle name="Обычный 2 4 3 6" xfId="3140" xr:uid="{00000000-0005-0000-0000-00003A000000}"/>
    <cellStyle name="Обычный 2 4 4" xfId="262" xr:uid="{00000000-0005-0000-0000-00003A000000}"/>
    <cellStyle name="Обычный 2 4 4 2" xfId="1387" xr:uid="{00000000-0005-0000-0000-00003A000000}"/>
    <cellStyle name="Обычный 2 4 4 2 2" xfId="4382" xr:uid="{00000000-0005-0000-0000-00003A000000}"/>
    <cellStyle name="Обычный 2 4 4 3" xfId="590" xr:uid="{00000000-0005-0000-0000-00003A000000}"/>
    <cellStyle name="Обычный 2 4 4 3 2" xfId="3589" xr:uid="{00000000-0005-0000-0000-00003A000000}"/>
    <cellStyle name="Обычный 2 4 4 4" xfId="2778" xr:uid="{00000000-0005-0000-0000-00003A000000}"/>
    <cellStyle name="Обычный 2 4 4 4 2" xfId="5772" xr:uid="{00000000-0005-0000-0000-00003A000000}"/>
    <cellStyle name="Обычный 2 4 4 5" xfId="3285" xr:uid="{00000000-0005-0000-0000-00003A000000}"/>
    <cellStyle name="Обычный 2 4 5" xfId="407" xr:uid="{00000000-0005-0000-0000-00003A000000}"/>
    <cellStyle name="Обычный 2 4 5 2" xfId="3430" xr:uid="{00000000-0005-0000-0000-00003A000000}"/>
    <cellStyle name="Обычный 2 4 6" xfId="438" xr:uid="{0ADC956C-1017-4FA9-83B6-D05E0F50A368}"/>
    <cellStyle name="Обычный 2 4 7" xfId="2442" xr:uid="{00000000-0005-0000-0000-00003A000000}"/>
    <cellStyle name="Обычный 2 4 7 2" xfId="5436" xr:uid="{00000000-0005-0000-0000-00003A000000}"/>
    <cellStyle name="Обычный 2 4 8" xfId="3076" xr:uid="{3C70B9DC-0251-4110-88A4-4911E9B3B64F}"/>
    <cellStyle name="Обычный 2 5" xfId="8" xr:uid="{3C70B9DC-0251-4110-88A4-4911E9B3B64F}"/>
    <cellStyle name="Обычный 2 5 2" xfId="134" xr:uid="{3C70B9DC-0251-4110-88A4-4911E9B3B64F}"/>
    <cellStyle name="Обычный 2 5 2 2" xfId="279" xr:uid="{3C70B9DC-0251-4110-88A4-4911E9B3B64F}"/>
    <cellStyle name="Обычный 2 5 2 2 2" xfId="3302" xr:uid="{3C70B9DC-0251-4110-88A4-4911E9B3B64F}"/>
    <cellStyle name="Обычный 2 5 2 3" xfId="740" xr:uid="{FCB33B27-2E6F-4E33-A57E-7D42C19964BD}"/>
    <cellStyle name="Обычный 2 5 2 4" xfId="3157" xr:uid="{3C70B9DC-0251-4110-88A4-4911E9B3B64F}"/>
    <cellStyle name="Обычный 2 5 3" xfId="78" xr:uid="{00000000-0005-0000-0000-00003A000000}"/>
    <cellStyle name="Обычный 2 5 3 2" xfId="1064" xr:uid="{00000000-0005-0000-0000-00003A000000}"/>
    <cellStyle name="Обычный 2 5 3 2 2" xfId="2814" xr:uid="{00000000-0005-0000-0000-00003A000000}"/>
    <cellStyle name="Обычный 2 5 3 2 2 2" xfId="5808" xr:uid="{00000000-0005-0000-0000-00003A000000}"/>
    <cellStyle name="Обычный 2 5 3 2 3" xfId="4059" xr:uid="{00000000-0005-0000-0000-00003A000000}"/>
    <cellStyle name="Обычный 2 5 3 3" xfId="1423" xr:uid="{00000000-0005-0000-0000-00003A000000}"/>
    <cellStyle name="Обычный 2 5 3 3 2" xfId="4418" xr:uid="{00000000-0005-0000-0000-00003A000000}"/>
    <cellStyle name="Обычный 2 5 3 4" xfId="626" xr:uid="{00000000-0005-0000-0000-00003A000000}"/>
    <cellStyle name="Обычный 2 5 3 4 2" xfId="3625" xr:uid="{00000000-0005-0000-0000-00003A000000}"/>
    <cellStyle name="Обычный 2 5 3 5" xfId="2478" xr:uid="{00000000-0005-0000-0000-00003A000000}"/>
    <cellStyle name="Обычный 2 5 3 5 2" xfId="5472" xr:uid="{00000000-0005-0000-0000-00003A000000}"/>
    <cellStyle name="Обычный 2 5 3 6" xfId="3104" xr:uid="{00000000-0005-0000-0000-00003A000000}"/>
    <cellStyle name="Обычный 2 5 4" xfId="226" xr:uid="{00000000-0005-0000-0000-00003A000000}"/>
    <cellStyle name="Обычный 2 5 4 2" xfId="1352" xr:uid="{00000000-0005-0000-0000-00003A000000}"/>
    <cellStyle name="Обычный 2 5 4 2 2" xfId="4347" xr:uid="{00000000-0005-0000-0000-00003A000000}"/>
    <cellStyle name="Обычный 2 5 4 3" xfId="555" xr:uid="{00000000-0005-0000-0000-00003A000000}"/>
    <cellStyle name="Обычный 2 5 4 3 2" xfId="3554" xr:uid="{00000000-0005-0000-0000-00003A000000}"/>
    <cellStyle name="Обычный 2 5 4 4" xfId="2743" xr:uid="{00000000-0005-0000-0000-00003A000000}"/>
    <cellStyle name="Обычный 2 5 4 4 2" xfId="5737" xr:uid="{00000000-0005-0000-0000-00003A000000}"/>
    <cellStyle name="Обычный 2 5 4 5" xfId="3249" xr:uid="{00000000-0005-0000-0000-00003A000000}"/>
    <cellStyle name="Обычный 2 5 5" xfId="371" xr:uid="{00000000-0005-0000-0000-00003A000000}"/>
    <cellStyle name="Обычный 2 5 5 2" xfId="3394" xr:uid="{00000000-0005-0000-0000-00003A000000}"/>
    <cellStyle name="Обычный 2 5 6" xfId="507" xr:uid="{FCB33B27-2E6F-4E33-A57E-7D42C19964BD}"/>
    <cellStyle name="Обычный 2 5 7" xfId="2406" xr:uid="{00000000-0005-0000-0000-00003A000000}"/>
    <cellStyle name="Обычный 2 5 7 2" xfId="5400" xr:uid="{00000000-0005-0000-0000-00003A000000}"/>
    <cellStyle name="Обычный 2 5 8" xfId="3079" xr:uid="{3C70B9DC-0251-4110-88A4-4911E9B3B64F}"/>
    <cellStyle name="Обычный 2 6" xfId="9" xr:uid="{3C70B9DC-0251-4110-88A4-4911E9B3B64F}"/>
    <cellStyle name="Обычный 2 6 2" xfId="135" xr:uid="{3C70B9DC-0251-4110-88A4-4911E9B3B64F}"/>
    <cellStyle name="Обычный 2 6 2 2" xfId="3158" xr:uid="{3C70B9DC-0251-4110-88A4-4911E9B3B64F}"/>
    <cellStyle name="Обычный 2 6 3" xfId="280" xr:uid="{3C70B9DC-0251-4110-88A4-4911E9B3B64F}"/>
    <cellStyle name="Обычный 2 6 3 2" xfId="3303" xr:uid="{3C70B9DC-0251-4110-88A4-4911E9B3B64F}"/>
    <cellStyle name="Обычный 2 6 4" xfId="677" xr:uid="{FCB33B27-2E6F-4E33-A57E-7D42C19964BD}"/>
    <cellStyle name="Обычный 2 6 5" xfId="3080" xr:uid="{3C70B9DC-0251-4110-88A4-4911E9B3B64F}"/>
    <cellStyle name="Обычный 2 7" xfId="130" xr:uid="{3C70B9DC-0251-4110-88A4-4911E9B3B64F}"/>
    <cellStyle name="Обычный 2 7 2" xfId="275" xr:uid="{3C70B9DC-0251-4110-88A4-4911E9B3B64F}"/>
    <cellStyle name="Обычный 2 7 2 2" xfId="1046" xr:uid="{00000000-0005-0000-0000-00003A000000}"/>
    <cellStyle name="Обычный 2 7 2 2 2" xfId="4041" xr:uid="{00000000-0005-0000-0000-00003A000000}"/>
    <cellStyle name="Обычный 2 7 2 3" xfId="2796" xr:uid="{00000000-0005-0000-0000-00003A000000}"/>
    <cellStyle name="Обычный 2 7 2 3 2" xfId="5790" xr:uid="{00000000-0005-0000-0000-00003A000000}"/>
    <cellStyle name="Обычный 2 7 2 4" xfId="3298" xr:uid="{3C70B9DC-0251-4110-88A4-4911E9B3B64F}"/>
    <cellStyle name="Обычный 2 7 3" xfId="1405" xr:uid="{00000000-0005-0000-0000-00003A000000}"/>
    <cellStyle name="Обычный 2 7 3 2" xfId="4400" xr:uid="{00000000-0005-0000-0000-00003A000000}"/>
    <cellStyle name="Обычный 2 7 4" xfId="608" xr:uid="{00000000-0005-0000-0000-00003A000000}"/>
    <cellStyle name="Обычный 2 7 4 2" xfId="3607" xr:uid="{00000000-0005-0000-0000-00003A000000}"/>
    <cellStyle name="Обычный 2 7 5" xfId="2460" xr:uid="{00000000-0005-0000-0000-00003A000000}"/>
    <cellStyle name="Обычный 2 7 5 2" xfId="5454" xr:uid="{00000000-0005-0000-0000-00003A000000}"/>
    <cellStyle name="Обычный 2 7 6" xfId="3153" xr:uid="{3C70B9DC-0251-4110-88A4-4911E9B3B64F}"/>
    <cellStyle name="Обычный 2 8" xfId="56" xr:uid="{00000000-0005-0000-0000-00003A000000}"/>
    <cellStyle name="Обычный 2 8 2" xfId="433" xr:uid="{FCB33B27-2E6F-4E33-A57E-7D42C19964BD}"/>
    <cellStyle name="Обычный 2 8 3" xfId="3073" xr:uid="{9E30CF79-5463-4E1C-9792-1D49105C662C}"/>
    <cellStyle name="Обычный 2 8 3 2" xfId="6067" xr:uid="{9E30CF79-5463-4E1C-9792-1D49105C662C}"/>
    <cellStyle name="Обычный 2 8 4" xfId="3086" xr:uid="{00000000-0005-0000-0000-00003A000000}"/>
    <cellStyle name="Обычный 2 9" xfId="208" xr:uid="{00000000-0005-0000-0000-00003A000000}"/>
    <cellStyle name="Обычный 2 9 2" xfId="3231" xr:uid="{00000000-0005-0000-0000-00003A000000}"/>
    <cellStyle name="Обычный 21" xfId="69" xr:uid="{040B7B84-A086-44A2-BFEE-6D5000C339CF}"/>
    <cellStyle name="Обычный 21 10" xfId="463" xr:uid="{040B7B84-A086-44A2-BFEE-6D5000C339CF}"/>
    <cellStyle name="Обычный 21 10 2" xfId="3467" xr:uid="{040B7B84-A086-44A2-BFEE-6D5000C339CF}"/>
    <cellStyle name="Обычный 21 11" xfId="2398" xr:uid="{040B7B84-A086-44A2-BFEE-6D5000C339CF}"/>
    <cellStyle name="Обычный 21 11 2" xfId="5392" xr:uid="{040B7B84-A086-44A2-BFEE-6D5000C339CF}"/>
    <cellStyle name="Обычный 21 12" xfId="3096" xr:uid="{040B7B84-A086-44A2-BFEE-6D5000C339CF}"/>
    <cellStyle name="Обычный 21 2" xfId="108" xr:uid="{040B7B84-A086-44A2-BFEE-6D5000C339CF}"/>
    <cellStyle name="Обычный 21 2 2" xfId="183" xr:uid="{040B7B84-A086-44A2-BFEE-6D5000C339CF}"/>
    <cellStyle name="Обычный 21 2 2 2" xfId="328" xr:uid="{040B7B84-A086-44A2-BFEE-6D5000C339CF}"/>
    <cellStyle name="Обычный 21 2 2 2 2" xfId="1092" xr:uid="{040B7B84-A086-44A2-BFEE-6D5000C339CF}"/>
    <cellStyle name="Обычный 21 2 2 2 2 2" xfId="4087" xr:uid="{040B7B84-A086-44A2-BFEE-6D5000C339CF}"/>
    <cellStyle name="Обычный 21 2 2 2 3" xfId="2842" xr:uid="{040B7B84-A086-44A2-BFEE-6D5000C339CF}"/>
    <cellStyle name="Обычный 21 2 2 2 3 2" xfId="5836" xr:uid="{040B7B84-A086-44A2-BFEE-6D5000C339CF}"/>
    <cellStyle name="Обычный 21 2 2 2 4" xfId="3351" xr:uid="{040B7B84-A086-44A2-BFEE-6D5000C339CF}"/>
    <cellStyle name="Обычный 21 2 2 3" xfId="1451" xr:uid="{040B7B84-A086-44A2-BFEE-6D5000C339CF}"/>
    <cellStyle name="Обычный 21 2 2 3 2" xfId="4446" xr:uid="{040B7B84-A086-44A2-BFEE-6D5000C339CF}"/>
    <cellStyle name="Обычный 21 2 2 4" xfId="654" xr:uid="{040B7B84-A086-44A2-BFEE-6D5000C339CF}"/>
    <cellStyle name="Обычный 21 2 2 4 2" xfId="3653" xr:uid="{040B7B84-A086-44A2-BFEE-6D5000C339CF}"/>
    <cellStyle name="Обычный 21 2 2 5" xfId="2506" xr:uid="{040B7B84-A086-44A2-BFEE-6D5000C339CF}"/>
    <cellStyle name="Обычный 21 2 2 5 2" xfId="5500" xr:uid="{040B7B84-A086-44A2-BFEE-6D5000C339CF}"/>
    <cellStyle name="Обычный 21 2 2 6" xfId="3206" xr:uid="{040B7B84-A086-44A2-BFEE-6D5000C339CF}"/>
    <cellStyle name="Обычный 21 2 3" xfId="254" xr:uid="{040B7B84-A086-44A2-BFEE-6D5000C339CF}"/>
    <cellStyle name="Обычный 21 2 3 2" xfId="1023" xr:uid="{040B7B84-A086-44A2-BFEE-6D5000C339CF}"/>
    <cellStyle name="Обычный 21 2 3 2 2" xfId="4018" xr:uid="{040B7B84-A086-44A2-BFEE-6D5000C339CF}"/>
    <cellStyle name="Обычный 21 2 3 3" xfId="2770" xr:uid="{040B7B84-A086-44A2-BFEE-6D5000C339CF}"/>
    <cellStyle name="Обычный 21 2 3 3 2" xfId="5764" xr:uid="{040B7B84-A086-44A2-BFEE-6D5000C339CF}"/>
    <cellStyle name="Обычный 21 2 3 4" xfId="3277" xr:uid="{040B7B84-A086-44A2-BFEE-6D5000C339CF}"/>
    <cellStyle name="Обычный 21 2 4" xfId="399" xr:uid="{040B7B84-A086-44A2-BFEE-6D5000C339CF}"/>
    <cellStyle name="Обычный 21 2 4 2" xfId="1379" xr:uid="{040B7B84-A086-44A2-BFEE-6D5000C339CF}"/>
    <cellStyle name="Обычный 21 2 4 2 2" xfId="4374" xr:uid="{040B7B84-A086-44A2-BFEE-6D5000C339CF}"/>
    <cellStyle name="Обычный 21 2 4 3" xfId="3422" xr:uid="{040B7B84-A086-44A2-BFEE-6D5000C339CF}"/>
    <cellStyle name="Обычный 21 2 5" xfId="582" xr:uid="{040B7B84-A086-44A2-BFEE-6D5000C339CF}"/>
    <cellStyle name="Обычный 21 2 5 2" xfId="3581" xr:uid="{040B7B84-A086-44A2-BFEE-6D5000C339CF}"/>
    <cellStyle name="Обычный 21 2 6" xfId="2434" xr:uid="{040B7B84-A086-44A2-BFEE-6D5000C339CF}"/>
    <cellStyle name="Обычный 21 2 6 2" xfId="5428" xr:uid="{040B7B84-A086-44A2-BFEE-6D5000C339CF}"/>
    <cellStyle name="Обычный 21 2 7" xfId="3132" xr:uid="{040B7B84-A086-44A2-BFEE-6D5000C339CF}"/>
    <cellStyle name="Обычный 21 3" xfId="127" xr:uid="{040B7B84-A086-44A2-BFEE-6D5000C339CF}"/>
    <cellStyle name="Обычный 21 3 2" xfId="200" xr:uid="{040B7B84-A086-44A2-BFEE-6D5000C339CF}"/>
    <cellStyle name="Обычный 21 3 2 2" xfId="345" xr:uid="{040B7B84-A086-44A2-BFEE-6D5000C339CF}"/>
    <cellStyle name="Обычный 21 3 2 2 2" xfId="1110" xr:uid="{040B7B84-A086-44A2-BFEE-6D5000C339CF}"/>
    <cellStyle name="Обычный 21 3 2 2 2 2" xfId="4105" xr:uid="{040B7B84-A086-44A2-BFEE-6D5000C339CF}"/>
    <cellStyle name="Обычный 21 3 2 2 3" xfId="2860" xr:uid="{040B7B84-A086-44A2-BFEE-6D5000C339CF}"/>
    <cellStyle name="Обычный 21 3 2 2 3 2" xfId="5854" xr:uid="{040B7B84-A086-44A2-BFEE-6D5000C339CF}"/>
    <cellStyle name="Обычный 21 3 2 2 4" xfId="3368" xr:uid="{040B7B84-A086-44A2-BFEE-6D5000C339CF}"/>
    <cellStyle name="Обычный 21 3 2 3" xfId="1469" xr:uid="{040B7B84-A086-44A2-BFEE-6D5000C339CF}"/>
    <cellStyle name="Обычный 21 3 2 3 2" xfId="4464" xr:uid="{040B7B84-A086-44A2-BFEE-6D5000C339CF}"/>
    <cellStyle name="Обычный 21 3 2 4" xfId="672" xr:uid="{040B7B84-A086-44A2-BFEE-6D5000C339CF}"/>
    <cellStyle name="Обычный 21 3 2 4 2" xfId="3671" xr:uid="{040B7B84-A086-44A2-BFEE-6D5000C339CF}"/>
    <cellStyle name="Обычный 21 3 2 5" xfId="2524" xr:uid="{040B7B84-A086-44A2-BFEE-6D5000C339CF}"/>
    <cellStyle name="Обычный 21 3 2 5 2" xfId="5518" xr:uid="{040B7B84-A086-44A2-BFEE-6D5000C339CF}"/>
    <cellStyle name="Обычный 21 3 2 6" xfId="3223" xr:uid="{040B7B84-A086-44A2-BFEE-6D5000C339CF}"/>
    <cellStyle name="Обычный 21 3 3" xfId="272" xr:uid="{040B7B84-A086-44A2-BFEE-6D5000C339CF}"/>
    <cellStyle name="Обычный 21 3 3 2" xfId="1039" xr:uid="{040B7B84-A086-44A2-BFEE-6D5000C339CF}"/>
    <cellStyle name="Обычный 21 3 3 2 2" xfId="4034" xr:uid="{040B7B84-A086-44A2-BFEE-6D5000C339CF}"/>
    <cellStyle name="Обычный 21 3 3 3" xfId="2788" xr:uid="{040B7B84-A086-44A2-BFEE-6D5000C339CF}"/>
    <cellStyle name="Обычный 21 3 3 3 2" xfId="5782" xr:uid="{040B7B84-A086-44A2-BFEE-6D5000C339CF}"/>
    <cellStyle name="Обычный 21 3 3 4" xfId="3295" xr:uid="{040B7B84-A086-44A2-BFEE-6D5000C339CF}"/>
    <cellStyle name="Обычный 21 3 4" xfId="417" xr:uid="{040B7B84-A086-44A2-BFEE-6D5000C339CF}"/>
    <cellStyle name="Обычный 21 3 4 2" xfId="1397" xr:uid="{040B7B84-A086-44A2-BFEE-6D5000C339CF}"/>
    <cellStyle name="Обычный 21 3 4 2 2" xfId="4392" xr:uid="{040B7B84-A086-44A2-BFEE-6D5000C339CF}"/>
    <cellStyle name="Обычный 21 3 4 3" xfId="3440" xr:uid="{040B7B84-A086-44A2-BFEE-6D5000C339CF}"/>
    <cellStyle name="Обычный 21 3 5" xfId="600" xr:uid="{040B7B84-A086-44A2-BFEE-6D5000C339CF}"/>
    <cellStyle name="Обычный 21 3 5 2" xfId="3599" xr:uid="{040B7B84-A086-44A2-BFEE-6D5000C339CF}"/>
    <cellStyle name="Обычный 21 3 6" xfId="2452" xr:uid="{040B7B84-A086-44A2-BFEE-6D5000C339CF}"/>
    <cellStyle name="Обычный 21 3 6 2" xfId="5446" xr:uid="{040B7B84-A086-44A2-BFEE-6D5000C339CF}"/>
    <cellStyle name="Обычный 21 3 7" xfId="3150" xr:uid="{040B7B84-A086-44A2-BFEE-6D5000C339CF}"/>
    <cellStyle name="Обычный 21 4" xfId="89" xr:uid="{040B7B84-A086-44A2-BFEE-6D5000C339CF}"/>
    <cellStyle name="Обычный 21 4 2" xfId="166" xr:uid="{040B7B84-A086-44A2-BFEE-6D5000C339CF}"/>
    <cellStyle name="Обычный 21 4 2 2" xfId="311" xr:uid="{040B7B84-A086-44A2-BFEE-6D5000C339CF}"/>
    <cellStyle name="Обычный 21 4 2 2 2" xfId="1074" xr:uid="{040B7B84-A086-44A2-BFEE-6D5000C339CF}"/>
    <cellStyle name="Обычный 21 4 2 2 2 2" xfId="4069" xr:uid="{040B7B84-A086-44A2-BFEE-6D5000C339CF}"/>
    <cellStyle name="Обычный 21 4 2 2 3" xfId="2824" xr:uid="{040B7B84-A086-44A2-BFEE-6D5000C339CF}"/>
    <cellStyle name="Обычный 21 4 2 2 3 2" xfId="5818" xr:uid="{040B7B84-A086-44A2-BFEE-6D5000C339CF}"/>
    <cellStyle name="Обычный 21 4 2 2 4" xfId="3334" xr:uid="{040B7B84-A086-44A2-BFEE-6D5000C339CF}"/>
    <cellStyle name="Обычный 21 4 2 3" xfId="1433" xr:uid="{040B7B84-A086-44A2-BFEE-6D5000C339CF}"/>
    <cellStyle name="Обычный 21 4 2 3 2" xfId="4428" xr:uid="{040B7B84-A086-44A2-BFEE-6D5000C339CF}"/>
    <cellStyle name="Обычный 21 4 2 4" xfId="636" xr:uid="{040B7B84-A086-44A2-BFEE-6D5000C339CF}"/>
    <cellStyle name="Обычный 21 4 2 4 2" xfId="3635" xr:uid="{040B7B84-A086-44A2-BFEE-6D5000C339CF}"/>
    <cellStyle name="Обычный 21 4 2 5" xfId="2488" xr:uid="{040B7B84-A086-44A2-BFEE-6D5000C339CF}"/>
    <cellStyle name="Обычный 21 4 2 5 2" xfId="5482" xr:uid="{040B7B84-A086-44A2-BFEE-6D5000C339CF}"/>
    <cellStyle name="Обычный 21 4 2 6" xfId="3189" xr:uid="{040B7B84-A086-44A2-BFEE-6D5000C339CF}"/>
    <cellStyle name="Обычный 21 4 3" xfId="236" xr:uid="{040B7B84-A086-44A2-BFEE-6D5000C339CF}"/>
    <cellStyle name="Обычный 21 4 3 2" xfId="1007" xr:uid="{040B7B84-A086-44A2-BFEE-6D5000C339CF}"/>
    <cellStyle name="Обычный 21 4 3 2 2" xfId="4002" xr:uid="{040B7B84-A086-44A2-BFEE-6D5000C339CF}"/>
    <cellStyle name="Обычный 21 4 3 3" xfId="2753" xr:uid="{040B7B84-A086-44A2-BFEE-6D5000C339CF}"/>
    <cellStyle name="Обычный 21 4 3 3 2" xfId="5747" xr:uid="{040B7B84-A086-44A2-BFEE-6D5000C339CF}"/>
    <cellStyle name="Обычный 21 4 3 4" xfId="3259" xr:uid="{040B7B84-A086-44A2-BFEE-6D5000C339CF}"/>
    <cellStyle name="Обычный 21 4 4" xfId="381" xr:uid="{040B7B84-A086-44A2-BFEE-6D5000C339CF}"/>
    <cellStyle name="Обычный 21 4 4 2" xfId="1362" xr:uid="{040B7B84-A086-44A2-BFEE-6D5000C339CF}"/>
    <cellStyle name="Обычный 21 4 4 2 2" xfId="4357" xr:uid="{040B7B84-A086-44A2-BFEE-6D5000C339CF}"/>
    <cellStyle name="Обычный 21 4 4 3" xfId="3404" xr:uid="{040B7B84-A086-44A2-BFEE-6D5000C339CF}"/>
    <cellStyle name="Обычный 21 4 5" xfId="565" xr:uid="{040B7B84-A086-44A2-BFEE-6D5000C339CF}"/>
    <cellStyle name="Обычный 21 4 5 2" xfId="3564" xr:uid="{040B7B84-A086-44A2-BFEE-6D5000C339CF}"/>
    <cellStyle name="Обычный 21 4 6" xfId="2416" xr:uid="{040B7B84-A086-44A2-BFEE-6D5000C339CF}"/>
    <cellStyle name="Обычный 21 4 6 2" xfId="5410" xr:uid="{040B7B84-A086-44A2-BFEE-6D5000C339CF}"/>
    <cellStyle name="Обычный 21 4 7" xfId="3114" xr:uid="{040B7B84-A086-44A2-BFEE-6D5000C339CF}"/>
    <cellStyle name="Обычный 21 5" xfId="149" xr:uid="{040B7B84-A086-44A2-BFEE-6D5000C339CF}"/>
    <cellStyle name="Обычный 21 5 2" xfId="294" xr:uid="{040B7B84-A086-44A2-BFEE-6D5000C339CF}"/>
    <cellStyle name="Обычный 21 5 2 2" xfId="1132" xr:uid="{040B7B84-A086-44A2-BFEE-6D5000C339CF}"/>
    <cellStyle name="Обычный 21 5 2 2 2" xfId="4127" xr:uid="{040B7B84-A086-44A2-BFEE-6D5000C339CF}"/>
    <cellStyle name="Обычный 21 5 2 3" xfId="2885" xr:uid="{040B7B84-A086-44A2-BFEE-6D5000C339CF}"/>
    <cellStyle name="Обычный 21 5 2 3 2" xfId="5879" xr:uid="{040B7B84-A086-44A2-BFEE-6D5000C339CF}"/>
    <cellStyle name="Обычный 21 5 2 4" xfId="3317" xr:uid="{040B7B84-A086-44A2-BFEE-6D5000C339CF}"/>
    <cellStyle name="Обычный 21 5 3" xfId="1494" xr:uid="{040B7B84-A086-44A2-BFEE-6D5000C339CF}"/>
    <cellStyle name="Обычный 21 5 3 2" xfId="4489" xr:uid="{040B7B84-A086-44A2-BFEE-6D5000C339CF}"/>
    <cellStyle name="Обычный 21 5 4" xfId="699" xr:uid="{040B7B84-A086-44A2-BFEE-6D5000C339CF}"/>
    <cellStyle name="Обычный 21 5 4 2" xfId="3696" xr:uid="{040B7B84-A086-44A2-BFEE-6D5000C339CF}"/>
    <cellStyle name="Обычный 21 5 5" xfId="2550" xr:uid="{040B7B84-A086-44A2-BFEE-6D5000C339CF}"/>
    <cellStyle name="Обычный 21 5 5 2" xfId="5544" xr:uid="{040B7B84-A086-44A2-BFEE-6D5000C339CF}"/>
    <cellStyle name="Обычный 21 5 6" xfId="3172" xr:uid="{040B7B84-A086-44A2-BFEE-6D5000C339CF}"/>
    <cellStyle name="Обычный 21 6" xfId="218" xr:uid="{040B7B84-A086-44A2-BFEE-6D5000C339CF}"/>
    <cellStyle name="Обычный 21 6 2" xfId="1056" xr:uid="{040B7B84-A086-44A2-BFEE-6D5000C339CF}"/>
    <cellStyle name="Обычный 21 6 2 2" xfId="2806" xr:uid="{040B7B84-A086-44A2-BFEE-6D5000C339CF}"/>
    <cellStyle name="Обычный 21 6 2 2 2" xfId="5800" xr:uid="{040B7B84-A086-44A2-BFEE-6D5000C339CF}"/>
    <cellStyle name="Обычный 21 6 2 3" xfId="4051" xr:uid="{040B7B84-A086-44A2-BFEE-6D5000C339CF}"/>
    <cellStyle name="Обычный 21 6 3" xfId="1415" xr:uid="{040B7B84-A086-44A2-BFEE-6D5000C339CF}"/>
    <cellStyle name="Обычный 21 6 3 2" xfId="4410" xr:uid="{040B7B84-A086-44A2-BFEE-6D5000C339CF}"/>
    <cellStyle name="Обычный 21 6 4" xfId="618" xr:uid="{040B7B84-A086-44A2-BFEE-6D5000C339CF}"/>
    <cellStyle name="Обычный 21 6 4 2" xfId="3617" xr:uid="{040B7B84-A086-44A2-BFEE-6D5000C339CF}"/>
    <cellStyle name="Обычный 21 6 5" xfId="2470" xr:uid="{040B7B84-A086-44A2-BFEE-6D5000C339CF}"/>
    <cellStyle name="Обычный 21 6 5 2" xfId="5464" xr:uid="{040B7B84-A086-44A2-BFEE-6D5000C339CF}"/>
    <cellStyle name="Обычный 21 6 6" xfId="3241" xr:uid="{040B7B84-A086-44A2-BFEE-6D5000C339CF}"/>
    <cellStyle name="Обычный 21 7" xfId="363" xr:uid="{040B7B84-A086-44A2-BFEE-6D5000C339CF}"/>
    <cellStyle name="Обычный 21 7 2" xfId="1159" xr:uid="{040B7B84-A086-44A2-BFEE-6D5000C339CF}"/>
    <cellStyle name="Обычный 21 7 2 2" xfId="4154" xr:uid="{040B7B84-A086-44A2-BFEE-6D5000C339CF}"/>
    <cellStyle name="Обычный 21 7 3" xfId="1599" xr:uid="{040B7B84-A086-44A2-BFEE-6D5000C339CF}"/>
    <cellStyle name="Обычный 21 7 3 2" xfId="4594" xr:uid="{040B7B84-A086-44A2-BFEE-6D5000C339CF}"/>
    <cellStyle name="Обычный 21 7 4" xfId="805" xr:uid="{040B7B84-A086-44A2-BFEE-6D5000C339CF}"/>
    <cellStyle name="Обычный 21 7 4 2" xfId="3801" xr:uid="{040B7B84-A086-44A2-BFEE-6D5000C339CF}"/>
    <cellStyle name="Обычный 21 7 5" xfId="2990" xr:uid="{040B7B84-A086-44A2-BFEE-6D5000C339CF}"/>
    <cellStyle name="Обычный 21 7 5 2" xfId="5984" xr:uid="{040B7B84-A086-44A2-BFEE-6D5000C339CF}"/>
    <cellStyle name="Обычный 21 7 6" xfId="3386" xr:uid="{040B7B84-A086-44A2-BFEE-6D5000C339CF}"/>
    <cellStyle name="Обычный 21 8" xfId="888" xr:uid="{040B7B84-A086-44A2-BFEE-6D5000C339CF}"/>
    <cellStyle name="Обычный 21 8 2" xfId="2655" xr:uid="{040B7B84-A086-44A2-BFEE-6D5000C339CF}"/>
    <cellStyle name="Обычный 21 8 2 2" xfId="5649" xr:uid="{040B7B84-A086-44A2-BFEE-6D5000C339CF}"/>
    <cellStyle name="Обычный 21 8 3" xfId="3884" xr:uid="{040B7B84-A086-44A2-BFEE-6D5000C339CF}"/>
    <cellStyle name="Обычный 21 9" xfId="1264" xr:uid="{040B7B84-A086-44A2-BFEE-6D5000C339CF}"/>
    <cellStyle name="Обычный 21 9 2" xfId="4259" xr:uid="{040B7B84-A086-44A2-BFEE-6D5000C339CF}"/>
    <cellStyle name="Обычный 3" xfId="55" xr:uid="{00000000-0005-0000-0000-00003C000000}"/>
    <cellStyle name="Обычный 3 10" xfId="452" xr:uid="{00000000-0005-0000-0000-00003C000000}"/>
    <cellStyle name="Обычный 3 10 2" xfId="2645" xr:uid="{00000000-0005-0000-0000-00003C000000}"/>
    <cellStyle name="Обычный 3 10 2 2" xfId="5639" xr:uid="{00000000-0005-0000-0000-00003C000000}"/>
    <cellStyle name="Обычный 3 10 3" xfId="3457" xr:uid="{00000000-0005-0000-0000-00003C000000}"/>
    <cellStyle name="Обычный 3 11" xfId="1254" xr:uid="{00000000-0005-0000-0000-00003C000000}"/>
    <cellStyle name="Обычный 3 11 2" xfId="4249" xr:uid="{00000000-0005-0000-0000-00003C000000}"/>
    <cellStyle name="Обычный 3 12" xfId="423" xr:uid="{928A257B-ACE2-4020-8B41-79124340A202}"/>
    <cellStyle name="Обычный 3 13" xfId="2387" xr:uid="{00000000-0005-0000-0000-00003C000000}"/>
    <cellStyle name="Обычный 3 13 2" xfId="5381" xr:uid="{00000000-0005-0000-0000-00003C000000}"/>
    <cellStyle name="Обычный 3 14" xfId="3085" xr:uid="{00000000-0005-0000-0000-00003C000000}"/>
    <cellStyle name="Обычный 3 2" xfId="58" xr:uid="{00000000-0005-0000-0000-00003D000000}"/>
    <cellStyle name="Обычный 3 2 10" xfId="1256" xr:uid="{00000000-0005-0000-0000-00003D000000}"/>
    <cellStyle name="Обычный 3 2 10 2" xfId="4251" xr:uid="{00000000-0005-0000-0000-00003D000000}"/>
    <cellStyle name="Обычный 3 2 11" xfId="455" xr:uid="{00000000-0005-0000-0000-00003D000000}"/>
    <cellStyle name="Обычный 3 2 11 2" xfId="3459" xr:uid="{00000000-0005-0000-0000-00003D000000}"/>
    <cellStyle name="Обычный 3 2 12" xfId="2389" xr:uid="{00000000-0005-0000-0000-00003D000000}"/>
    <cellStyle name="Обычный 3 2 12 2" xfId="5383" xr:uid="{00000000-0005-0000-0000-00003D000000}"/>
    <cellStyle name="Обычный 3 2 13" xfId="3087" xr:uid="{00000000-0005-0000-0000-00003D000000}"/>
    <cellStyle name="Обычный 3 2 2" xfId="65" xr:uid="{00000000-0005-0000-0000-00003E000000}"/>
    <cellStyle name="Обычный 3 2 2 10" xfId="461" xr:uid="{00000000-0005-0000-0000-00003E000000}"/>
    <cellStyle name="Обычный 3 2 2 10 2" xfId="3465" xr:uid="{00000000-0005-0000-0000-00003E000000}"/>
    <cellStyle name="Обычный 3 2 2 11" xfId="2396" xr:uid="{00000000-0005-0000-0000-00003E000000}"/>
    <cellStyle name="Обычный 3 2 2 11 2" xfId="5390" xr:uid="{00000000-0005-0000-0000-00003E000000}"/>
    <cellStyle name="Обычный 3 2 2 12" xfId="3094" xr:uid="{00000000-0005-0000-0000-00003E000000}"/>
    <cellStyle name="Обычный 3 2 2 2" xfId="105" xr:uid="{00000000-0005-0000-0000-00003E000000}"/>
    <cellStyle name="Обычный 3 2 2 2 2" xfId="181" xr:uid="{00000000-0005-0000-0000-00003E000000}"/>
    <cellStyle name="Обычный 3 2 2 2 2 2" xfId="326" xr:uid="{00000000-0005-0000-0000-00003E000000}"/>
    <cellStyle name="Обычный 3 2 2 2 2 2 2" xfId="1090" xr:uid="{00000000-0005-0000-0000-00003E000000}"/>
    <cellStyle name="Обычный 3 2 2 2 2 2 2 2" xfId="4085" xr:uid="{00000000-0005-0000-0000-00003E000000}"/>
    <cellStyle name="Обычный 3 2 2 2 2 2 3" xfId="2840" xr:uid="{00000000-0005-0000-0000-00003E000000}"/>
    <cellStyle name="Обычный 3 2 2 2 2 2 3 2" xfId="5834" xr:uid="{00000000-0005-0000-0000-00003E000000}"/>
    <cellStyle name="Обычный 3 2 2 2 2 2 4" xfId="3349" xr:uid="{00000000-0005-0000-0000-00003E000000}"/>
    <cellStyle name="Обычный 3 2 2 2 2 3" xfId="1449" xr:uid="{00000000-0005-0000-0000-00003E000000}"/>
    <cellStyle name="Обычный 3 2 2 2 2 3 2" xfId="4444" xr:uid="{00000000-0005-0000-0000-00003E000000}"/>
    <cellStyle name="Обычный 3 2 2 2 2 4" xfId="652" xr:uid="{00000000-0005-0000-0000-00003E000000}"/>
    <cellStyle name="Обычный 3 2 2 2 2 4 2" xfId="3651" xr:uid="{00000000-0005-0000-0000-00003E000000}"/>
    <cellStyle name="Обычный 3 2 2 2 2 5" xfId="2504" xr:uid="{00000000-0005-0000-0000-00003E000000}"/>
    <cellStyle name="Обычный 3 2 2 2 2 5 2" xfId="5498" xr:uid="{00000000-0005-0000-0000-00003E000000}"/>
    <cellStyle name="Обычный 3 2 2 2 2 6" xfId="3204" xr:uid="{00000000-0005-0000-0000-00003E000000}"/>
    <cellStyle name="Обычный 3 2 2 2 3" xfId="252" xr:uid="{00000000-0005-0000-0000-00003E000000}"/>
    <cellStyle name="Обычный 3 2 2 2 3 2" xfId="1021" xr:uid="{00000000-0005-0000-0000-00003E000000}"/>
    <cellStyle name="Обычный 3 2 2 2 3 2 2" xfId="4016" xr:uid="{00000000-0005-0000-0000-00003E000000}"/>
    <cellStyle name="Обычный 3 2 2 2 3 3" xfId="2768" xr:uid="{00000000-0005-0000-0000-00003E000000}"/>
    <cellStyle name="Обычный 3 2 2 2 3 3 2" xfId="5762" xr:uid="{00000000-0005-0000-0000-00003E000000}"/>
    <cellStyle name="Обычный 3 2 2 2 3 4" xfId="3275" xr:uid="{00000000-0005-0000-0000-00003E000000}"/>
    <cellStyle name="Обычный 3 2 2 2 4" xfId="397" xr:uid="{00000000-0005-0000-0000-00003E000000}"/>
    <cellStyle name="Обычный 3 2 2 2 4 2" xfId="1377" xr:uid="{00000000-0005-0000-0000-00003E000000}"/>
    <cellStyle name="Обычный 3 2 2 2 4 2 2" xfId="4372" xr:uid="{00000000-0005-0000-0000-00003E000000}"/>
    <cellStyle name="Обычный 3 2 2 2 4 3" xfId="3420" xr:uid="{00000000-0005-0000-0000-00003E000000}"/>
    <cellStyle name="Обычный 3 2 2 2 5" xfId="580" xr:uid="{00000000-0005-0000-0000-00003E000000}"/>
    <cellStyle name="Обычный 3 2 2 2 5 2" xfId="3579" xr:uid="{00000000-0005-0000-0000-00003E000000}"/>
    <cellStyle name="Обычный 3 2 2 2 6" xfId="2432" xr:uid="{00000000-0005-0000-0000-00003E000000}"/>
    <cellStyle name="Обычный 3 2 2 2 6 2" xfId="5426" xr:uid="{00000000-0005-0000-0000-00003E000000}"/>
    <cellStyle name="Обычный 3 2 2 2 7" xfId="3130" xr:uid="{00000000-0005-0000-0000-00003E000000}"/>
    <cellStyle name="Обычный 3 2 2 3" xfId="125" xr:uid="{00000000-0005-0000-0000-00003E000000}"/>
    <cellStyle name="Обычный 3 2 2 3 2" xfId="198" xr:uid="{00000000-0005-0000-0000-00003E000000}"/>
    <cellStyle name="Обычный 3 2 2 3 2 2" xfId="343" xr:uid="{00000000-0005-0000-0000-00003E000000}"/>
    <cellStyle name="Обычный 3 2 2 3 2 2 2" xfId="1108" xr:uid="{00000000-0005-0000-0000-00003E000000}"/>
    <cellStyle name="Обычный 3 2 2 3 2 2 2 2" xfId="4103" xr:uid="{00000000-0005-0000-0000-00003E000000}"/>
    <cellStyle name="Обычный 3 2 2 3 2 2 3" xfId="2858" xr:uid="{00000000-0005-0000-0000-00003E000000}"/>
    <cellStyle name="Обычный 3 2 2 3 2 2 3 2" xfId="5852" xr:uid="{00000000-0005-0000-0000-00003E000000}"/>
    <cellStyle name="Обычный 3 2 2 3 2 2 4" xfId="3366" xr:uid="{00000000-0005-0000-0000-00003E000000}"/>
    <cellStyle name="Обычный 3 2 2 3 2 3" xfId="1467" xr:uid="{00000000-0005-0000-0000-00003E000000}"/>
    <cellStyle name="Обычный 3 2 2 3 2 3 2" xfId="4462" xr:uid="{00000000-0005-0000-0000-00003E000000}"/>
    <cellStyle name="Обычный 3 2 2 3 2 4" xfId="670" xr:uid="{00000000-0005-0000-0000-00003E000000}"/>
    <cellStyle name="Обычный 3 2 2 3 2 4 2" xfId="3669" xr:uid="{00000000-0005-0000-0000-00003E000000}"/>
    <cellStyle name="Обычный 3 2 2 3 2 5" xfId="2522" xr:uid="{00000000-0005-0000-0000-00003E000000}"/>
    <cellStyle name="Обычный 3 2 2 3 2 5 2" xfId="5516" xr:uid="{00000000-0005-0000-0000-00003E000000}"/>
    <cellStyle name="Обычный 3 2 2 3 2 6" xfId="3221" xr:uid="{00000000-0005-0000-0000-00003E000000}"/>
    <cellStyle name="Обычный 3 2 2 3 3" xfId="270" xr:uid="{00000000-0005-0000-0000-00003E000000}"/>
    <cellStyle name="Обычный 3 2 2 3 3 2" xfId="1037" xr:uid="{00000000-0005-0000-0000-00003E000000}"/>
    <cellStyle name="Обычный 3 2 2 3 3 2 2" xfId="4032" xr:uid="{00000000-0005-0000-0000-00003E000000}"/>
    <cellStyle name="Обычный 3 2 2 3 3 3" xfId="2786" xr:uid="{00000000-0005-0000-0000-00003E000000}"/>
    <cellStyle name="Обычный 3 2 2 3 3 3 2" xfId="5780" xr:uid="{00000000-0005-0000-0000-00003E000000}"/>
    <cellStyle name="Обычный 3 2 2 3 3 4" xfId="3293" xr:uid="{00000000-0005-0000-0000-00003E000000}"/>
    <cellStyle name="Обычный 3 2 2 3 4" xfId="415" xr:uid="{00000000-0005-0000-0000-00003E000000}"/>
    <cellStyle name="Обычный 3 2 2 3 4 2" xfId="1395" xr:uid="{00000000-0005-0000-0000-00003E000000}"/>
    <cellStyle name="Обычный 3 2 2 3 4 2 2" xfId="4390" xr:uid="{00000000-0005-0000-0000-00003E000000}"/>
    <cellStyle name="Обычный 3 2 2 3 4 3" xfId="3438" xr:uid="{00000000-0005-0000-0000-00003E000000}"/>
    <cellStyle name="Обычный 3 2 2 3 5" xfId="598" xr:uid="{00000000-0005-0000-0000-00003E000000}"/>
    <cellStyle name="Обычный 3 2 2 3 5 2" xfId="3597" xr:uid="{00000000-0005-0000-0000-00003E000000}"/>
    <cellStyle name="Обычный 3 2 2 3 6" xfId="2450" xr:uid="{00000000-0005-0000-0000-00003E000000}"/>
    <cellStyle name="Обычный 3 2 2 3 6 2" xfId="5444" xr:uid="{00000000-0005-0000-0000-00003E000000}"/>
    <cellStyle name="Обычный 3 2 2 3 7" xfId="3148" xr:uid="{00000000-0005-0000-0000-00003E000000}"/>
    <cellStyle name="Обычный 3 2 2 4" xfId="86" xr:uid="{00000000-0005-0000-0000-00003E000000}"/>
    <cellStyle name="Обычный 3 2 2 4 2" xfId="164" xr:uid="{00000000-0005-0000-0000-00003E000000}"/>
    <cellStyle name="Обычный 3 2 2 4 2 2" xfId="309" xr:uid="{00000000-0005-0000-0000-00003E000000}"/>
    <cellStyle name="Обычный 3 2 2 4 2 2 2" xfId="1072" xr:uid="{00000000-0005-0000-0000-00003E000000}"/>
    <cellStyle name="Обычный 3 2 2 4 2 2 2 2" xfId="4067" xr:uid="{00000000-0005-0000-0000-00003E000000}"/>
    <cellStyle name="Обычный 3 2 2 4 2 2 3" xfId="2822" xr:uid="{00000000-0005-0000-0000-00003E000000}"/>
    <cellStyle name="Обычный 3 2 2 4 2 2 3 2" xfId="5816" xr:uid="{00000000-0005-0000-0000-00003E000000}"/>
    <cellStyle name="Обычный 3 2 2 4 2 2 4" xfId="3332" xr:uid="{00000000-0005-0000-0000-00003E000000}"/>
    <cellStyle name="Обычный 3 2 2 4 2 3" xfId="1431" xr:uid="{00000000-0005-0000-0000-00003E000000}"/>
    <cellStyle name="Обычный 3 2 2 4 2 3 2" xfId="4426" xr:uid="{00000000-0005-0000-0000-00003E000000}"/>
    <cellStyle name="Обычный 3 2 2 4 2 4" xfId="634" xr:uid="{00000000-0005-0000-0000-00003E000000}"/>
    <cellStyle name="Обычный 3 2 2 4 2 4 2" xfId="3633" xr:uid="{00000000-0005-0000-0000-00003E000000}"/>
    <cellStyle name="Обычный 3 2 2 4 2 5" xfId="2486" xr:uid="{00000000-0005-0000-0000-00003E000000}"/>
    <cellStyle name="Обычный 3 2 2 4 2 5 2" xfId="5480" xr:uid="{00000000-0005-0000-0000-00003E000000}"/>
    <cellStyle name="Обычный 3 2 2 4 2 6" xfId="3187" xr:uid="{00000000-0005-0000-0000-00003E000000}"/>
    <cellStyle name="Обычный 3 2 2 4 3" xfId="234" xr:uid="{00000000-0005-0000-0000-00003E000000}"/>
    <cellStyle name="Обычный 3 2 2 4 3 2" xfId="1005" xr:uid="{00000000-0005-0000-0000-00003E000000}"/>
    <cellStyle name="Обычный 3 2 2 4 3 2 2" xfId="4000" xr:uid="{00000000-0005-0000-0000-00003E000000}"/>
    <cellStyle name="Обычный 3 2 2 4 3 3" xfId="2751" xr:uid="{00000000-0005-0000-0000-00003E000000}"/>
    <cellStyle name="Обычный 3 2 2 4 3 3 2" xfId="5745" xr:uid="{00000000-0005-0000-0000-00003E000000}"/>
    <cellStyle name="Обычный 3 2 2 4 3 4" xfId="3257" xr:uid="{00000000-0005-0000-0000-00003E000000}"/>
    <cellStyle name="Обычный 3 2 2 4 4" xfId="379" xr:uid="{00000000-0005-0000-0000-00003E000000}"/>
    <cellStyle name="Обычный 3 2 2 4 4 2" xfId="1360" xr:uid="{00000000-0005-0000-0000-00003E000000}"/>
    <cellStyle name="Обычный 3 2 2 4 4 2 2" xfId="4355" xr:uid="{00000000-0005-0000-0000-00003E000000}"/>
    <cellStyle name="Обычный 3 2 2 4 4 3" xfId="3402" xr:uid="{00000000-0005-0000-0000-00003E000000}"/>
    <cellStyle name="Обычный 3 2 2 4 5" xfId="563" xr:uid="{00000000-0005-0000-0000-00003E000000}"/>
    <cellStyle name="Обычный 3 2 2 4 5 2" xfId="3562" xr:uid="{00000000-0005-0000-0000-00003E000000}"/>
    <cellStyle name="Обычный 3 2 2 4 6" xfId="2414" xr:uid="{00000000-0005-0000-0000-00003E000000}"/>
    <cellStyle name="Обычный 3 2 2 4 6 2" xfId="5408" xr:uid="{00000000-0005-0000-0000-00003E000000}"/>
    <cellStyle name="Обычный 3 2 2 4 7" xfId="3112" xr:uid="{00000000-0005-0000-0000-00003E000000}"/>
    <cellStyle name="Обычный 3 2 2 5" xfId="147" xr:uid="{00000000-0005-0000-0000-00003E000000}"/>
    <cellStyle name="Обычный 3 2 2 5 2" xfId="292" xr:uid="{00000000-0005-0000-0000-00003E000000}"/>
    <cellStyle name="Обычный 3 2 2 5 2 2" xfId="1130" xr:uid="{00000000-0005-0000-0000-00003E000000}"/>
    <cellStyle name="Обычный 3 2 2 5 2 2 2" xfId="4125" xr:uid="{00000000-0005-0000-0000-00003E000000}"/>
    <cellStyle name="Обычный 3 2 2 5 2 3" xfId="2883" xr:uid="{00000000-0005-0000-0000-00003E000000}"/>
    <cellStyle name="Обычный 3 2 2 5 2 3 2" xfId="5877" xr:uid="{00000000-0005-0000-0000-00003E000000}"/>
    <cellStyle name="Обычный 3 2 2 5 2 4" xfId="3315" xr:uid="{00000000-0005-0000-0000-00003E000000}"/>
    <cellStyle name="Обычный 3 2 2 5 3" xfId="1492" xr:uid="{00000000-0005-0000-0000-00003E000000}"/>
    <cellStyle name="Обычный 3 2 2 5 3 2" xfId="4487" xr:uid="{00000000-0005-0000-0000-00003E000000}"/>
    <cellStyle name="Обычный 3 2 2 5 4" xfId="697" xr:uid="{00000000-0005-0000-0000-00003E000000}"/>
    <cellStyle name="Обычный 3 2 2 5 4 2" xfId="3694" xr:uid="{00000000-0005-0000-0000-00003E000000}"/>
    <cellStyle name="Обычный 3 2 2 5 5" xfId="2548" xr:uid="{00000000-0005-0000-0000-00003E000000}"/>
    <cellStyle name="Обычный 3 2 2 5 5 2" xfId="5542" xr:uid="{00000000-0005-0000-0000-00003E000000}"/>
    <cellStyle name="Обычный 3 2 2 5 6" xfId="3170" xr:uid="{00000000-0005-0000-0000-00003E000000}"/>
    <cellStyle name="Обычный 3 2 2 6" xfId="216" xr:uid="{00000000-0005-0000-0000-00003E000000}"/>
    <cellStyle name="Обычный 3 2 2 6 2" xfId="1054" xr:uid="{00000000-0005-0000-0000-00003E000000}"/>
    <cellStyle name="Обычный 3 2 2 6 2 2" xfId="2804" xr:uid="{00000000-0005-0000-0000-00003E000000}"/>
    <cellStyle name="Обычный 3 2 2 6 2 2 2" xfId="5798" xr:uid="{00000000-0005-0000-0000-00003E000000}"/>
    <cellStyle name="Обычный 3 2 2 6 2 3" xfId="4049" xr:uid="{00000000-0005-0000-0000-00003E000000}"/>
    <cellStyle name="Обычный 3 2 2 6 3" xfId="1413" xr:uid="{00000000-0005-0000-0000-00003E000000}"/>
    <cellStyle name="Обычный 3 2 2 6 3 2" xfId="4408" xr:uid="{00000000-0005-0000-0000-00003E000000}"/>
    <cellStyle name="Обычный 3 2 2 6 4" xfId="616" xr:uid="{00000000-0005-0000-0000-00003E000000}"/>
    <cellStyle name="Обычный 3 2 2 6 4 2" xfId="3615" xr:uid="{00000000-0005-0000-0000-00003E000000}"/>
    <cellStyle name="Обычный 3 2 2 6 5" xfId="2468" xr:uid="{00000000-0005-0000-0000-00003E000000}"/>
    <cellStyle name="Обычный 3 2 2 6 5 2" xfId="5462" xr:uid="{00000000-0005-0000-0000-00003E000000}"/>
    <cellStyle name="Обычный 3 2 2 6 6" xfId="3239" xr:uid="{00000000-0005-0000-0000-00003E000000}"/>
    <cellStyle name="Обычный 3 2 2 7" xfId="361" xr:uid="{00000000-0005-0000-0000-00003E000000}"/>
    <cellStyle name="Обычный 3 2 2 7 2" xfId="1157" xr:uid="{00000000-0005-0000-0000-00003E000000}"/>
    <cellStyle name="Обычный 3 2 2 7 2 2" xfId="4152" xr:uid="{00000000-0005-0000-0000-00003E000000}"/>
    <cellStyle name="Обычный 3 2 2 7 3" xfId="1597" xr:uid="{00000000-0005-0000-0000-00003E000000}"/>
    <cellStyle name="Обычный 3 2 2 7 3 2" xfId="4592" xr:uid="{00000000-0005-0000-0000-00003E000000}"/>
    <cellStyle name="Обычный 3 2 2 7 4" xfId="803" xr:uid="{00000000-0005-0000-0000-00003E000000}"/>
    <cellStyle name="Обычный 3 2 2 7 4 2" xfId="3799" xr:uid="{00000000-0005-0000-0000-00003E000000}"/>
    <cellStyle name="Обычный 3 2 2 7 5" xfId="2988" xr:uid="{00000000-0005-0000-0000-00003E000000}"/>
    <cellStyle name="Обычный 3 2 2 7 5 2" xfId="5982" xr:uid="{00000000-0005-0000-0000-00003E000000}"/>
    <cellStyle name="Обычный 3 2 2 7 6" xfId="3384" xr:uid="{00000000-0005-0000-0000-00003E000000}"/>
    <cellStyle name="Обычный 3 2 2 8" xfId="947" xr:uid="{00000000-0005-0000-0000-00003E000000}"/>
    <cellStyle name="Обычный 3 2 2 8 2" xfId="2653" xr:uid="{00000000-0005-0000-0000-00003E000000}"/>
    <cellStyle name="Обычный 3 2 2 8 2 2" xfId="5647" xr:uid="{00000000-0005-0000-0000-00003E000000}"/>
    <cellStyle name="Обычный 3 2 2 8 3" xfId="3942" xr:uid="{00000000-0005-0000-0000-00003E000000}"/>
    <cellStyle name="Обычный 3 2 2 9" xfId="1262" xr:uid="{00000000-0005-0000-0000-00003E000000}"/>
    <cellStyle name="Обычный 3 2 2 9 2" xfId="4257" xr:uid="{00000000-0005-0000-0000-00003E000000}"/>
    <cellStyle name="Обычный 3 2 3" xfId="98" xr:uid="{00000000-0005-0000-0000-00003D000000}"/>
    <cellStyle name="Обычный 3 2 3 2" xfId="174" xr:uid="{00000000-0005-0000-0000-00003D000000}"/>
    <cellStyle name="Обычный 3 2 3 2 2" xfId="319" xr:uid="{00000000-0005-0000-0000-00003D000000}"/>
    <cellStyle name="Обычный 3 2 3 2 2 2" xfId="1083" xr:uid="{00000000-0005-0000-0000-00003D000000}"/>
    <cellStyle name="Обычный 3 2 3 2 2 2 2" xfId="4078" xr:uid="{00000000-0005-0000-0000-00003D000000}"/>
    <cellStyle name="Обычный 3 2 3 2 2 3" xfId="2833" xr:uid="{00000000-0005-0000-0000-00003D000000}"/>
    <cellStyle name="Обычный 3 2 3 2 2 3 2" xfId="5827" xr:uid="{00000000-0005-0000-0000-00003D000000}"/>
    <cellStyle name="Обычный 3 2 3 2 2 4" xfId="3342" xr:uid="{00000000-0005-0000-0000-00003D000000}"/>
    <cellStyle name="Обычный 3 2 3 2 3" xfId="1442" xr:uid="{00000000-0005-0000-0000-00003D000000}"/>
    <cellStyle name="Обычный 3 2 3 2 3 2" xfId="4437" xr:uid="{00000000-0005-0000-0000-00003D000000}"/>
    <cellStyle name="Обычный 3 2 3 2 4" xfId="645" xr:uid="{00000000-0005-0000-0000-00003D000000}"/>
    <cellStyle name="Обычный 3 2 3 2 4 2" xfId="3644" xr:uid="{00000000-0005-0000-0000-00003D000000}"/>
    <cellStyle name="Обычный 3 2 3 2 5" xfId="2497" xr:uid="{00000000-0005-0000-0000-00003D000000}"/>
    <cellStyle name="Обычный 3 2 3 2 5 2" xfId="5491" xr:uid="{00000000-0005-0000-0000-00003D000000}"/>
    <cellStyle name="Обычный 3 2 3 2 6" xfId="3197" xr:uid="{00000000-0005-0000-0000-00003D000000}"/>
    <cellStyle name="Обычный 3 2 3 3" xfId="245" xr:uid="{00000000-0005-0000-0000-00003D000000}"/>
    <cellStyle name="Обычный 3 2 3 3 2" xfId="1014" xr:uid="{00000000-0005-0000-0000-00003D000000}"/>
    <cellStyle name="Обычный 3 2 3 3 2 2" xfId="4009" xr:uid="{00000000-0005-0000-0000-00003D000000}"/>
    <cellStyle name="Обычный 3 2 3 3 3" xfId="2761" xr:uid="{00000000-0005-0000-0000-00003D000000}"/>
    <cellStyle name="Обычный 3 2 3 3 3 2" xfId="5755" xr:uid="{00000000-0005-0000-0000-00003D000000}"/>
    <cellStyle name="Обычный 3 2 3 3 4" xfId="3268" xr:uid="{00000000-0005-0000-0000-00003D000000}"/>
    <cellStyle name="Обычный 3 2 3 4" xfId="390" xr:uid="{00000000-0005-0000-0000-00003D000000}"/>
    <cellStyle name="Обычный 3 2 3 4 2" xfId="1370" xr:uid="{00000000-0005-0000-0000-00003D000000}"/>
    <cellStyle name="Обычный 3 2 3 4 2 2" xfId="4365" xr:uid="{00000000-0005-0000-0000-00003D000000}"/>
    <cellStyle name="Обычный 3 2 3 4 3" xfId="3413" xr:uid="{00000000-0005-0000-0000-00003D000000}"/>
    <cellStyle name="Обычный 3 2 3 5" xfId="573" xr:uid="{00000000-0005-0000-0000-00003D000000}"/>
    <cellStyle name="Обычный 3 2 3 5 2" xfId="3572" xr:uid="{00000000-0005-0000-0000-00003D000000}"/>
    <cellStyle name="Обычный 3 2 3 6" xfId="2425" xr:uid="{00000000-0005-0000-0000-00003D000000}"/>
    <cellStyle name="Обычный 3 2 3 6 2" xfId="5419" xr:uid="{00000000-0005-0000-0000-00003D000000}"/>
    <cellStyle name="Обычный 3 2 3 7" xfId="3123" xr:uid="{00000000-0005-0000-0000-00003D000000}"/>
    <cellStyle name="Обычный 3 2 4" xfId="118" xr:uid="{00000000-0005-0000-0000-00003D000000}"/>
    <cellStyle name="Обычный 3 2 4 2" xfId="191" xr:uid="{00000000-0005-0000-0000-00003D000000}"/>
    <cellStyle name="Обычный 3 2 4 2 2" xfId="336" xr:uid="{00000000-0005-0000-0000-00003D000000}"/>
    <cellStyle name="Обычный 3 2 4 2 2 2" xfId="1101" xr:uid="{00000000-0005-0000-0000-00003D000000}"/>
    <cellStyle name="Обычный 3 2 4 2 2 2 2" xfId="4096" xr:uid="{00000000-0005-0000-0000-00003D000000}"/>
    <cellStyle name="Обычный 3 2 4 2 2 3" xfId="2851" xr:uid="{00000000-0005-0000-0000-00003D000000}"/>
    <cellStyle name="Обычный 3 2 4 2 2 3 2" xfId="5845" xr:uid="{00000000-0005-0000-0000-00003D000000}"/>
    <cellStyle name="Обычный 3 2 4 2 2 4" xfId="3359" xr:uid="{00000000-0005-0000-0000-00003D000000}"/>
    <cellStyle name="Обычный 3 2 4 2 3" xfId="1460" xr:uid="{00000000-0005-0000-0000-00003D000000}"/>
    <cellStyle name="Обычный 3 2 4 2 3 2" xfId="4455" xr:uid="{00000000-0005-0000-0000-00003D000000}"/>
    <cellStyle name="Обычный 3 2 4 2 4" xfId="663" xr:uid="{00000000-0005-0000-0000-00003D000000}"/>
    <cellStyle name="Обычный 3 2 4 2 4 2" xfId="3662" xr:uid="{00000000-0005-0000-0000-00003D000000}"/>
    <cellStyle name="Обычный 3 2 4 2 5" xfId="2515" xr:uid="{00000000-0005-0000-0000-00003D000000}"/>
    <cellStyle name="Обычный 3 2 4 2 5 2" xfId="5509" xr:uid="{00000000-0005-0000-0000-00003D000000}"/>
    <cellStyle name="Обычный 3 2 4 2 6" xfId="3214" xr:uid="{00000000-0005-0000-0000-00003D000000}"/>
    <cellStyle name="Обычный 3 2 4 3" xfId="263" xr:uid="{00000000-0005-0000-0000-00003D000000}"/>
    <cellStyle name="Обычный 3 2 4 3 2" xfId="1030" xr:uid="{00000000-0005-0000-0000-00003D000000}"/>
    <cellStyle name="Обычный 3 2 4 3 2 2" xfId="4025" xr:uid="{00000000-0005-0000-0000-00003D000000}"/>
    <cellStyle name="Обычный 3 2 4 3 3" xfId="2779" xr:uid="{00000000-0005-0000-0000-00003D000000}"/>
    <cellStyle name="Обычный 3 2 4 3 3 2" xfId="5773" xr:uid="{00000000-0005-0000-0000-00003D000000}"/>
    <cellStyle name="Обычный 3 2 4 3 4" xfId="3286" xr:uid="{00000000-0005-0000-0000-00003D000000}"/>
    <cellStyle name="Обычный 3 2 4 4" xfId="408" xr:uid="{00000000-0005-0000-0000-00003D000000}"/>
    <cellStyle name="Обычный 3 2 4 4 2" xfId="1388" xr:uid="{00000000-0005-0000-0000-00003D000000}"/>
    <cellStyle name="Обычный 3 2 4 4 2 2" xfId="4383" xr:uid="{00000000-0005-0000-0000-00003D000000}"/>
    <cellStyle name="Обычный 3 2 4 4 3" xfId="3431" xr:uid="{00000000-0005-0000-0000-00003D000000}"/>
    <cellStyle name="Обычный 3 2 4 5" xfId="591" xr:uid="{00000000-0005-0000-0000-00003D000000}"/>
    <cellStyle name="Обычный 3 2 4 5 2" xfId="3590" xr:uid="{00000000-0005-0000-0000-00003D000000}"/>
    <cellStyle name="Обычный 3 2 4 6" xfId="2443" xr:uid="{00000000-0005-0000-0000-00003D000000}"/>
    <cellStyle name="Обычный 3 2 4 6 2" xfId="5437" xr:uid="{00000000-0005-0000-0000-00003D000000}"/>
    <cellStyle name="Обычный 3 2 4 7" xfId="3141" xr:uid="{00000000-0005-0000-0000-00003D000000}"/>
    <cellStyle name="Обычный 3 2 5" xfId="79" xr:uid="{00000000-0005-0000-0000-00003D000000}"/>
    <cellStyle name="Обычный 3 2 5 2" xfId="157" xr:uid="{00000000-0005-0000-0000-00003D000000}"/>
    <cellStyle name="Обычный 3 2 5 2 2" xfId="302" xr:uid="{00000000-0005-0000-0000-00003D000000}"/>
    <cellStyle name="Обычный 3 2 5 2 2 2" xfId="1065" xr:uid="{00000000-0005-0000-0000-00003D000000}"/>
    <cellStyle name="Обычный 3 2 5 2 2 2 2" xfId="4060" xr:uid="{00000000-0005-0000-0000-00003D000000}"/>
    <cellStyle name="Обычный 3 2 5 2 2 3" xfId="2815" xr:uid="{00000000-0005-0000-0000-00003D000000}"/>
    <cellStyle name="Обычный 3 2 5 2 2 3 2" xfId="5809" xr:uid="{00000000-0005-0000-0000-00003D000000}"/>
    <cellStyle name="Обычный 3 2 5 2 2 4" xfId="3325" xr:uid="{00000000-0005-0000-0000-00003D000000}"/>
    <cellStyle name="Обычный 3 2 5 2 3" xfId="1424" xr:uid="{00000000-0005-0000-0000-00003D000000}"/>
    <cellStyle name="Обычный 3 2 5 2 3 2" xfId="4419" xr:uid="{00000000-0005-0000-0000-00003D000000}"/>
    <cellStyle name="Обычный 3 2 5 2 4" xfId="627" xr:uid="{00000000-0005-0000-0000-00003D000000}"/>
    <cellStyle name="Обычный 3 2 5 2 4 2" xfId="3626" xr:uid="{00000000-0005-0000-0000-00003D000000}"/>
    <cellStyle name="Обычный 3 2 5 2 5" xfId="2479" xr:uid="{00000000-0005-0000-0000-00003D000000}"/>
    <cellStyle name="Обычный 3 2 5 2 5 2" xfId="5473" xr:uid="{00000000-0005-0000-0000-00003D000000}"/>
    <cellStyle name="Обычный 3 2 5 2 6" xfId="3180" xr:uid="{00000000-0005-0000-0000-00003D000000}"/>
    <cellStyle name="Обычный 3 2 5 3" xfId="227" xr:uid="{00000000-0005-0000-0000-00003D000000}"/>
    <cellStyle name="Обычный 3 2 5 3 2" xfId="998" xr:uid="{00000000-0005-0000-0000-00003D000000}"/>
    <cellStyle name="Обычный 3 2 5 3 2 2" xfId="3993" xr:uid="{00000000-0005-0000-0000-00003D000000}"/>
    <cellStyle name="Обычный 3 2 5 3 3" xfId="2744" xr:uid="{00000000-0005-0000-0000-00003D000000}"/>
    <cellStyle name="Обычный 3 2 5 3 3 2" xfId="5738" xr:uid="{00000000-0005-0000-0000-00003D000000}"/>
    <cellStyle name="Обычный 3 2 5 3 4" xfId="3250" xr:uid="{00000000-0005-0000-0000-00003D000000}"/>
    <cellStyle name="Обычный 3 2 5 4" xfId="372" xr:uid="{00000000-0005-0000-0000-00003D000000}"/>
    <cellStyle name="Обычный 3 2 5 4 2" xfId="1353" xr:uid="{00000000-0005-0000-0000-00003D000000}"/>
    <cellStyle name="Обычный 3 2 5 4 2 2" xfId="4348" xr:uid="{00000000-0005-0000-0000-00003D000000}"/>
    <cellStyle name="Обычный 3 2 5 4 3" xfId="3395" xr:uid="{00000000-0005-0000-0000-00003D000000}"/>
    <cellStyle name="Обычный 3 2 5 5" xfId="556" xr:uid="{00000000-0005-0000-0000-00003D000000}"/>
    <cellStyle name="Обычный 3 2 5 5 2" xfId="3555" xr:uid="{00000000-0005-0000-0000-00003D000000}"/>
    <cellStyle name="Обычный 3 2 5 6" xfId="2407" xr:uid="{00000000-0005-0000-0000-00003D000000}"/>
    <cellStyle name="Обычный 3 2 5 6 2" xfId="5401" xr:uid="{00000000-0005-0000-0000-00003D000000}"/>
    <cellStyle name="Обычный 3 2 5 7" xfId="3105" xr:uid="{00000000-0005-0000-0000-00003D000000}"/>
    <cellStyle name="Обычный 3 2 6" xfId="141" xr:uid="{00000000-0005-0000-0000-00003D000000}"/>
    <cellStyle name="Обычный 3 2 6 2" xfId="286" xr:uid="{00000000-0005-0000-0000-00003D000000}"/>
    <cellStyle name="Обычный 3 2 6 2 2" xfId="1124" xr:uid="{00000000-0005-0000-0000-00003D000000}"/>
    <cellStyle name="Обычный 3 2 6 2 2 2" xfId="4119" xr:uid="{00000000-0005-0000-0000-00003D000000}"/>
    <cellStyle name="Обычный 3 2 6 2 3" xfId="2877" xr:uid="{00000000-0005-0000-0000-00003D000000}"/>
    <cellStyle name="Обычный 3 2 6 2 3 2" xfId="5871" xr:uid="{00000000-0005-0000-0000-00003D000000}"/>
    <cellStyle name="Обычный 3 2 6 2 4" xfId="3309" xr:uid="{00000000-0005-0000-0000-00003D000000}"/>
    <cellStyle name="Обычный 3 2 6 3" xfId="1486" xr:uid="{00000000-0005-0000-0000-00003D000000}"/>
    <cellStyle name="Обычный 3 2 6 3 2" xfId="4481" xr:uid="{00000000-0005-0000-0000-00003D000000}"/>
    <cellStyle name="Обычный 3 2 6 4" xfId="691" xr:uid="{00000000-0005-0000-0000-00003D000000}"/>
    <cellStyle name="Обычный 3 2 6 4 2" xfId="3688" xr:uid="{00000000-0005-0000-0000-00003D000000}"/>
    <cellStyle name="Обычный 3 2 6 5" xfId="2542" xr:uid="{00000000-0005-0000-0000-00003D000000}"/>
    <cellStyle name="Обычный 3 2 6 5 2" xfId="5536" xr:uid="{00000000-0005-0000-0000-00003D000000}"/>
    <cellStyle name="Обычный 3 2 6 6" xfId="3164" xr:uid="{00000000-0005-0000-0000-00003D000000}"/>
    <cellStyle name="Обычный 3 2 7" xfId="209" xr:uid="{00000000-0005-0000-0000-00003D000000}"/>
    <cellStyle name="Обычный 3 2 7 2" xfId="1047" xr:uid="{00000000-0005-0000-0000-00003D000000}"/>
    <cellStyle name="Обычный 3 2 7 2 2" xfId="2797" xr:uid="{00000000-0005-0000-0000-00003D000000}"/>
    <cellStyle name="Обычный 3 2 7 2 2 2" xfId="5791" xr:uid="{00000000-0005-0000-0000-00003D000000}"/>
    <cellStyle name="Обычный 3 2 7 2 3" xfId="4042" xr:uid="{00000000-0005-0000-0000-00003D000000}"/>
    <cellStyle name="Обычный 3 2 7 3" xfId="1406" xr:uid="{00000000-0005-0000-0000-00003D000000}"/>
    <cellStyle name="Обычный 3 2 7 3 2" xfId="4401" xr:uid="{00000000-0005-0000-0000-00003D000000}"/>
    <cellStyle name="Обычный 3 2 7 4" xfId="609" xr:uid="{00000000-0005-0000-0000-00003D000000}"/>
    <cellStyle name="Обычный 3 2 7 4 2" xfId="3608" xr:uid="{00000000-0005-0000-0000-00003D000000}"/>
    <cellStyle name="Обычный 3 2 7 5" xfId="2461" xr:uid="{00000000-0005-0000-0000-00003D000000}"/>
    <cellStyle name="Обычный 3 2 7 5 2" xfId="5455" xr:uid="{00000000-0005-0000-0000-00003D000000}"/>
    <cellStyle name="Обычный 3 2 7 6" xfId="3232" xr:uid="{00000000-0005-0000-0000-00003D000000}"/>
    <cellStyle name="Обычный 3 2 8" xfId="354" xr:uid="{00000000-0005-0000-0000-00003D000000}"/>
    <cellStyle name="Обычный 3 2 8 2" xfId="1151" xr:uid="{00000000-0005-0000-0000-00003D000000}"/>
    <cellStyle name="Обычный 3 2 8 2 2" xfId="4146" xr:uid="{00000000-0005-0000-0000-00003D000000}"/>
    <cellStyle name="Обычный 3 2 8 3" xfId="1591" xr:uid="{00000000-0005-0000-0000-00003D000000}"/>
    <cellStyle name="Обычный 3 2 8 3 2" xfId="4586" xr:uid="{00000000-0005-0000-0000-00003D000000}"/>
    <cellStyle name="Обычный 3 2 8 4" xfId="797" xr:uid="{00000000-0005-0000-0000-00003D000000}"/>
    <cellStyle name="Обычный 3 2 8 4 2" xfId="3793" xr:uid="{00000000-0005-0000-0000-00003D000000}"/>
    <cellStyle name="Обычный 3 2 8 5" xfId="2982" xr:uid="{00000000-0005-0000-0000-00003D000000}"/>
    <cellStyle name="Обычный 3 2 8 5 2" xfId="5976" xr:uid="{00000000-0005-0000-0000-00003D000000}"/>
    <cellStyle name="Обычный 3 2 8 6" xfId="3377" xr:uid="{00000000-0005-0000-0000-00003D000000}"/>
    <cellStyle name="Обычный 3 2 9" xfId="960" xr:uid="{00000000-0005-0000-0000-00003D000000}"/>
    <cellStyle name="Обычный 3 2 9 2" xfId="2647" xr:uid="{00000000-0005-0000-0000-00003D000000}"/>
    <cellStyle name="Обычный 3 2 9 2 2" xfId="5641" xr:uid="{00000000-0005-0000-0000-00003D000000}"/>
    <cellStyle name="Обычный 3 2 9 3" xfId="3955" xr:uid="{00000000-0005-0000-0000-00003D000000}"/>
    <cellStyle name="Обычный 3 3" xfId="63" xr:uid="{00000000-0005-0000-0000-00003F000000}"/>
    <cellStyle name="Обычный 3 3 10" xfId="460" xr:uid="{00000000-0005-0000-0000-00003F000000}"/>
    <cellStyle name="Обычный 3 3 10 2" xfId="3464" xr:uid="{00000000-0005-0000-0000-00003F000000}"/>
    <cellStyle name="Обычный 3 3 11" xfId="2394" xr:uid="{00000000-0005-0000-0000-00003F000000}"/>
    <cellStyle name="Обычный 3 3 11 2" xfId="5388" xr:uid="{00000000-0005-0000-0000-00003F000000}"/>
    <cellStyle name="Обычный 3 3 12" xfId="3092" xr:uid="{00000000-0005-0000-0000-00003F000000}"/>
    <cellStyle name="Обычный 3 3 2" xfId="103" xr:uid="{00000000-0005-0000-0000-00003F000000}"/>
    <cellStyle name="Обычный 3 3 2 2" xfId="179" xr:uid="{00000000-0005-0000-0000-00003F000000}"/>
    <cellStyle name="Обычный 3 3 2 2 2" xfId="324" xr:uid="{00000000-0005-0000-0000-00003F000000}"/>
    <cellStyle name="Обычный 3 3 2 2 2 2" xfId="1088" xr:uid="{00000000-0005-0000-0000-00003F000000}"/>
    <cellStyle name="Обычный 3 3 2 2 2 2 2" xfId="4083" xr:uid="{00000000-0005-0000-0000-00003F000000}"/>
    <cellStyle name="Обычный 3 3 2 2 2 3" xfId="2838" xr:uid="{00000000-0005-0000-0000-00003F000000}"/>
    <cellStyle name="Обычный 3 3 2 2 2 3 2" xfId="5832" xr:uid="{00000000-0005-0000-0000-00003F000000}"/>
    <cellStyle name="Обычный 3 3 2 2 2 4" xfId="3347" xr:uid="{00000000-0005-0000-0000-00003F000000}"/>
    <cellStyle name="Обычный 3 3 2 2 3" xfId="1447" xr:uid="{00000000-0005-0000-0000-00003F000000}"/>
    <cellStyle name="Обычный 3 3 2 2 3 2" xfId="4442" xr:uid="{00000000-0005-0000-0000-00003F000000}"/>
    <cellStyle name="Обычный 3 3 2 2 4" xfId="650" xr:uid="{00000000-0005-0000-0000-00003F000000}"/>
    <cellStyle name="Обычный 3 3 2 2 4 2" xfId="3649" xr:uid="{00000000-0005-0000-0000-00003F000000}"/>
    <cellStyle name="Обычный 3 3 2 2 5" xfId="2502" xr:uid="{00000000-0005-0000-0000-00003F000000}"/>
    <cellStyle name="Обычный 3 3 2 2 5 2" xfId="5496" xr:uid="{00000000-0005-0000-0000-00003F000000}"/>
    <cellStyle name="Обычный 3 3 2 2 6" xfId="3202" xr:uid="{00000000-0005-0000-0000-00003F000000}"/>
    <cellStyle name="Обычный 3 3 2 3" xfId="250" xr:uid="{00000000-0005-0000-0000-00003F000000}"/>
    <cellStyle name="Обычный 3 3 2 3 2" xfId="1019" xr:uid="{00000000-0005-0000-0000-00003F000000}"/>
    <cellStyle name="Обычный 3 3 2 3 2 2" xfId="4014" xr:uid="{00000000-0005-0000-0000-00003F000000}"/>
    <cellStyle name="Обычный 3 3 2 3 3" xfId="2766" xr:uid="{00000000-0005-0000-0000-00003F000000}"/>
    <cellStyle name="Обычный 3 3 2 3 3 2" xfId="5760" xr:uid="{00000000-0005-0000-0000-00003F000000}"/>
    <cellStyle name="Обычный 3 3 2 3 4" xfId="3273" xr:uid="{00000000-0005-0000-0000-00003F000000}"/>
    <cellStyle name="Обычный 3 3 2 4" xfId="395" xr:uid="{00000000-0005-0000-0000-00003F000000}"/>
    <cellStyle name="Обычный 3 3 2 4 2" xfId="1375" xr:uid="{00000000-0005-0000-0000-00003F000000}"/>
    <cellStyle name="Обычный 3 3 2 4 2 2" xfId="4370" xr:uid="{00000000-0005-0000-0000-00003F000000}"/>
    <cellStyle name="Обычный 3 3 2 4 3" xfId="3418" xr:uid="{00000000-0005-0000-0000-00003F000000}"/>
    <cellStyle name="Обычный 3 3 2 5" xfId="578" xr:uid="{00000000-0005-0000-0000-00003F000000}"/>
    <cellStyle name="Обычный 3 3 2 5 2" xfId="3577" xr:uid="{00000000-0005-0000-0000-00003F000000}"/>
    <cellStyle name="Обычный 3 3 2 6" xfId="2430" xr:uid="{00000000-0005-0000-0000-00003F000000}"/>
    <cellStyle name="Обычный 3 3 2 6 2" xfId="5424" xr:uid="{00000000-0005-0000-0000-00003F000000}"/>
    <cellStyle name="Обычный 3 3 2 7" xfId="3128" xr:uid="{00000000-0005-0000-0000-00003F000000}"/>
    <cellStyle name="Обычный 3 3 3" xfId="123" xr:uid="{00000000-0005-0000-0000-00003F000000}"/>
    <cellStyle name="Обычный 3 3 3 2" xfId="196" xr:uid="{00000000-0005-0000-0000-00003F000000}"/>
    <cellStyle name="Обычный 3 3 3 2 2" xfId="341" xr:uid="{00000000-0005-0000-0000-00003F000000}"/>
    <cellStyle name="Обычный 3 3 3 2 2 2" xfId="1106" xr:uid="{00000000-0005-0000-0000-00003F000000}"/>
    <cellStyle name="Обычный 3 3 3 2 2 2 2" xfId="4101" xr:uid="{00000000-0005-0000-0000-00003F000000}"/>
    <cellStyle name="Обычный 3 3 3 2 2 3" xfId="2856" xr:uid="{00000000-0005-0000-0000-00003F000000}"/>
    <cellStyle name="Обычный 3 3 3 2 2 3 2" xfId="5850" xr:uid="{00000000-0005-0000-0000-00003F000000}"/>
    <cellStyle name="Обычный 3 3 3 2 2 4" xfId="3364" xr:uid="{00000000-0005-0000-0000-00003F000000}"/>
    <cellStyle name="Обычный 3 3 3 2 3" xfId="1465" xr:uid="{00000000-0005-0000-0000-00003F000000}"/>
    <cellStyle name="Обычный 3 3 3 2 3 2" xfId="4460" xr:uid="{00000000-0005-0000-0000-00003F000000}"/>
    <cellStyle name="Обычный 3 3 3 2 4" xfId="668" xr:uid="{00000000-0005-0000-0000-00003F000000}"/>
    <cellStyle name="Обычный 3 3 3 2 4 2" xfId="3667" xr:uid="{00000000-0005-0000-0000-00003F000000}"/>
    <cellStyle name="Обычный 3 3 3 2 5" xfId="2520" xr:uid="{00000000-0005-0000-0000-00003F000000}"/>
    <cellStyle name="Обычный 3 3 3 2 5 2" xfId="5514" xr:uid="{00000000-0005-0000-0000-00003F000000}"/>
    <cellStyle name="Обычный 3 3 3 2 6" xfId="3219" xr:uid="{00000000-0005-0000-0000-00003F000000}"/>
    <cellStyle name="Обычный 3 3 3 3" xfId="268" xr:uid="{00000000-0005-0000-0000-00003F000000}"/>
    <cellStyle name="Обычный 3 3 3 3 2" xfId="1035" xr:uid="{00000000-0005-0000-0000-00003F000000}"/>
    <cellStyle name="Обычный 3 3 3 3 2 2" xfId="4030" xr:uid="{00000000-0005-0000-0000-00003F000000}"/>
    <cellStyle name="Обычный 3 3 3 3 3" xfId="2784" xr:uid="{00000000-0005-0000-0000-00003F000000}"/>
    <cellStyle name="Обычный 3 3 3 3 3 2" xfId="5778" xr:uid="{00000000-0005-0000-0000-00003F000000}"/>
    <cellStyle name="Обычный 3 3 3 3 4" xfId="3291" xr:uid="{00000000-0005-0000-0000-00003F000000}"/>
    <cellStyle name="Обычный 3 3 3 4" xfId="413" xr:uid="{00000000-0005-0000-0000-00003F000000}"/>
    <cellStyle name="Обычный 3 3 3 4 2" xfId="1393" xr:uid="{00000000-0005-0000-0000-00003F000000}"/>
    <cellStyle name="Обычный 3 3 3 4 2 2" xfId="4388" xr:uid="{00000000-0005-0000-0000-00003F000000}"/>
    <cellStyle name="Обычный 3 3 3 4 3" xfId="3436" xr:uid="{00000000-0005-0000-0000-00003F000000}"/>
    <cellStyle name="Обычный 3 3 3 5" xfId="596" xr:uid="{00000000-0005-0000-0000-00003F000000}"/>
    <cellStyle name="Обычный 3 3 3 5 2" xfId="3595" xr:uid="{00000000-0005-0000-0000-00003F000000}"/>
    <cellStyle name="Обычный 3 3 3 6" xfId="2448" xr:uid="{00000000-0005-0000-0000-00003F000000}"/>
    <cellStyle name="Обычный 3 3 3 6 2" xfId="5442" xr:uid="{00000000-0005-0000-0000-00003F000000}"/>
    <cellStyle name="Обычный 3 3 3 7" xfId="3146" xr:uid="{00000000-0005-0000-0000-00003F000000}"/>
    <cellStyle name="Обычный 3 3 4" xfId="84" xr:uid="{00000000-0005-0000-0000-00003F000000}"/>
    <cellStyle name="Обычный 3 3 4 2" xfId="162" xr:uid="{00000000-0005-0000-0000-00003F000000}"/>
    <cellStyle name="Обычный 3 3 4 2 2" xfId="307" xr:uid="{00000000-0005-0000-0000-00003F000000}"/>
    <cellStyle name="Обычный 3 3 4 2 2 2" xfId="1070" xr:uid="{00000000-0005-0000-0000-00003F000000}"/>
    <cellStyle name="Обычный 3 3 4 2 2 2 2" xfId="4065" xr:uid="{00000000-0005-0000-0000-00003F000000}"/>
    <cellStyle name="Обычный 3 3 4 2 2 3" xfId="2820" xr:uid="{00000000-0005-0000-0000-00003F000000}"/>
    <cellStyle name="Обычный 3 3 4 2 2 3 2" xfId="5814" xr:uid="{00000000-0005-0000-0000-00003F000000}"/>
    <cellStyle name="Обычный 3 3 4 2 2 4" xfId="3330" xr:uid="{00000000-0005-0000-0000-00003F000000}"/>
    <cellStyle name="Обычный 3 3 4 2 3" xfId="1429" xr:uid="{00000000-0005-0000-0000-00003F000000}"/>
    <cellStyle name="Обычный 3 3 4 2 3 2" xfId="4424" xr:uid="{00000000-0005-0000-0000-00003F000000}"/>
    <cellStyle name="Обычный 3 3 4 2 4" xfId="632" xr:uid="{00000000-0005-0000-0000-00003F000000}"/>
    <cellStyle name="Обычный 3 3 4 2 4 2" xfId="3631" xr:uid="{00000000-0005-0000-0000-00003F000000}"/>
    <cellStyle name="Обычный 3 3 4 2 5" xfId="2484" xr:uid="{00000000-0005-0000-0000-00003F000000}"/>
    <cellStyle name="Обычный 3 3 4 2 5 2" xfId="5478" xr:uid="{00000000-0005-0000-0000-00003F000000}"/>
    <cellStyle name="Обычный 3 3 4 2 6" xfId="3185" xr:uid="{00000000-0005-0000-0000-00003F000000}"/>
    <cellStyle name="Обычный 3 3 4 3" xfId="232" xr:uid="{00000000-0005-0000-0000-00003F000000}"/>
    <cellStyle name="Обычный 3 3 4 3 2" xfId="1003" xr:uid="{00000000-0005-0000-0000-00003F000000}"/>
    <cellStyle name="Обычный 3 3 4 3 2 2" xfId="3998" xr:uid="{00000000-0005-0000-0000-00003F000000}"/>
    <cellStyle name="Обычный 3 3 4 3 3" xfId="2749" xr:uid="{00000000-0005-0000-0000-00003F000000}"/>
    <cellStyle name="Обычный 3 3 4 3 3 2" xfId="5743" xr:uid="{00000000-0005-0000-0000-00003F000000}"/>
    <cellStyle name="Обычный 3 3 4 3 4" xfId="3255" xr:uid="{00000000-0005-0000-0000-00003F000000}"/>
    <cellStyle name="Обычный 3 3 4 4" xfId="377" xr:uid="{00000000-0005-0000-0000-00003F000000}"/>
    <cellStyle name="Обычный 3 3 4 4 2" xfId="1358" xr:uid="{00000000-0005-0000-0000-00003F000000}"/>
    <cellStyle name="Обычный 3 3 4 4 2 2" xfId="4353" xr:uid="{00000000-0005-0000-0000-00003F000000}"/>
    <cellStyle name="Обычный 3 3 4 4 3" xfId="3400" xr:uid="{00000000-0005-0000-0000-00003F000000}"/>
    <cellStyle name="Обычный 3 3 4 5" xfId="561" xr:uid="{00000000-0005-0000-0000-00003F000000}"/>
    <cellStyle name="Обычный 3 3 4 5 2" xfId="3560" xr:uid="{00000000-0005-0000-0000-00003F000000}"/>
    <cellStyle name="Обычный 3 3 4 6" xfId="2412" xr:uid="{00000000-0005-0000-0000-00003F000000}"/>
    <cellStyle name="Обычный 3 3 4 6 2" xfId="5406" xr:uid="{00000000-0005-0000-0000-00003F000000}"/>
    <cellStyle name="Обычный 3 3 4 7" xfId="3110" xr:uid="{00000000-0005-0000-0000-00003F000000}"/>
    <cellStyle name="Обычный 3 3 5" xfId="146" xr:uid="{00000000-0005-0000-0000-00003F000000}"/>
    <cellStyle name="Обычный 3 3 5 2" xfId="291" xr:uid="{00000000-0005-0000-0000-00003F000000}"/>
    <cellStyle name="Обычный 3 3 5 2 2" xfId="1129" xr:uid="{00000000-0005-0000-0000-00003F000000}"/>
    <cellStyle name="Обычный 3 3 5 2 2 2" xfId="4124" xr:uid="{00000000-0005-0000-0000-00003F000000}"/>
    <cellStyle name="Обычный 3 3 5 2 3" xfId="2882" xr:uid="{00000000-0005-0000-0000-00003F000000}"/>
    <cellStyle name="Обычный 3 3 5 2 3 2" xfId="5876" xr:uid="{00000000-0005-0000-0000-00003F000000}"/>
    <cellStyle name="Обычный 3 3 5 2 4" xfId="3314" xr:uid="{00000000-0005-0000-0000-00003F000000}"/>
    <cellStyle name="Обычный 3 3 5 3" xfId="1491" xr:uid="{00000000-0005-0000-0000-00003F000000}"/>
    <cellStyle name="Обычный 3 3 5 3 2" xfId="4486" xr:uid="{00000000-0005-0000-0000-00003F000000}"/>
    <cellStyle name="Обычный 3 3 5 4" xfId="696" xr:uid="{00000000-0005-0000-0000-00003F000000}"/>
    <cellStyle name="Обычный 3 3 5 4 2" xfId="3693" xr:uid="{00000000-0005-0000-0000-00003F000000}"/>
    <cellStyle name="Обычный 3 3 5 5" xfId="2547" xr:uid="{00000000-0005-0000-0000-00003F000000}"/>
    <cellStyle name="Обычный 3 3 5 5 2" xfId="5541" xr:uid="{00000000-0005-0000-0000-00003F000000}"/>
    <cellStyle name="Обычный 3 3 5 6" xfId="3169" xr:uid="{00000000-0005-0000-0000-00003F000000}"/>
    <cellStyle name="Обычный 3 3 6" xfId="214" xr:uid="{00000000-0005-0000-0000-00003F000000}"/>
    <cellStyle name="Обычный 3 3 6 2" xfId="1052" xr:uid="{00000000-0005-0000-0000-00003F000000}"/>
    <cellStyle name="Обычный 3 3 6 2 2" xfId="2802" xr:uid="{00000000-0005-0000-0000-00003F000000}"/>
    <cellStyle name="Обычный 3 3 6 2 2 2" xfId="5796" xr:uid="{00000000-0005-0000-0000-00003F000000}"/>
    <cellStyle name="Обычный 3 3 6 2 3" xfId="4047" xr:uid="{00000000-0005-0000-0000-00003F000000}"/>
    <cellStyle name="Обычный 3 3 6 3" xfId="1411" xr:uid="{00000000-0005-0000-0000-00003F000000}"/>
    <cellStyle name="Обычный 3 3 6 3 2" xfId="4406" xr:uid="{00000000-0005-0000-0000-00003F000000}"/>
    <cellStyle name="Обычный 3 3 6 4" xfId="614" xr:uid="{00000000-0005-0000-0000-00003F000000}"/>
    <cellStyle name="Обычный 3 3 6 4 2" xfId="3613" xr:uid="{00000000-0005-0000-0000-00003F000000}"/>
    <cellStyle name="Обычный 3 3 6 5" xfId="2466" xr:uid="{00000000-0005-0000-0000-00003F000000}"/>
    <cellStyle name="Обычный 3 3 6 5 2" xfId="5460" xr:uid="{00000000-0005-0000-0000-00003F000000}"/>
    <cellStyle name="Обычный 3 3 6 6" xfId="3237" xr:uid="{00000000-0005-0000-0000-00003F000000}"/>
    <cellStyle name="Обычный 3 3 7" xfId="359" xr:uid="{00000000-0005-0000-0000-00003F000000}"/>
    <cellStyle name="Обычный 3 3 7 2" xfId="1156" xr:uid="{00000000-0005-0000-0000-00003F000000}"/>
    <cellStyle name="Обычный 3 3 7 2 2" xfId="4151" xr:uid="{00000000-0005-0000-0000-00003F000000}"/>
    <cellStyle name="Обычный 3 3 7 3" xfId="1596" xr:uid="{00000000-0005-0000-0000-00003F000000}"/>
    <cellStyle name="Обычный 3 3 7 3 2" xfId="4591" xr:uid="{00000000-0005-0000-0000-00003F000000}"/>
    <cellStyle name="Обычный 3 3 7 4" xfId="802" xr:uid="{00000000-0005-0000-0000-00003F000000}"/>
    <cellStyle name="Обычный 3 3 7 4 2" xfId="3798" xr:uid="{00000000-0005-0000-0000-00003F000000}"/>
    <cellStyle name="Обычный 3 3 7 5" xfId="2987" xr:uid="{00000000-0005-0000-0000-00003F000000}"/>
    <cellStyle name="Обычный 3 3 7 5 2" xfId="5981" xr:uid="{00000000-0005-0000-0000-00003F000000}"/>
    <cellStyle name="Обычный 3 3 7 6" xfId="3382" xr:uid="{00000000-0005-0000-0000-00003F000000}"/>
    <cellStyle name="Обычный 3 3 8" xfId="940" xr:uid="{00000000-0005-0000-0000-00003F000000}"/>
    <cellStyle name="Обычный 3 3 8 2" xfId="2652" xr:uid="{00000000-0005-0000-0000-00003F000000}"/>
    <cellStyle name="Обычный 3 3 8 2 2" xfId="5646" xr:uid="{00000000-0005-0000-0000-00003F000000}"/>
    <cellStyle name="Обычный 3 3 8 3" xfId="3935" xr:uid="{00000000-0005-0000-0000-00003F000000}"/>
    <cellStyle name="Обычный 3 3 9" xfId="1261" xr:uid="{00000000-0005-0000-0000-00003F000000}"/>
    <cellStyle name="Обычный 3 3 9 2" xfId="4256" xr:uid="{00000000-0005-0000-0000-00003F000000}"/>
    <cellStyle name="Обычный 3 4" xfId="96" xr:uid="{00000000-0005-0000-0000-00003C000000}"/>
    <cellStyle name="Обычный 3 4 2" xfId="173" xr:uid="{00000000-0005-0000-0000-00003C000000}"/>
    <cellStyle name="Обычный 3 4 2 2" xfId="318" xr:uid="{00000000-0005-0000-0000-00003C000000}"/>
    <cellStyle name="Обычный 3 4 2 2 2" xfId="1081" xr:uid="{00000000-0005-0000-0000-00003C000000}"/>
    <cellStyle name="Обычный 3 4 2 2 2 2" xfId="4076" xr:uid="{00000000-0005-0000-0000-00003C000000}"/>
    <cellStyle name="Обычный 3 4 2 2 3" xfId="2831" xr:uid="{00000000-0005-0000-0000-00003C000000}"/>
    <cellStyle name="Обычный 3 4 2 2 3 2" xfId="5825" xr:uid="{00000000-0005-0000-0000-00003C000000}"/>
    <cellStyle name="Обычный 3 4 2 2 4" xfId="3341" xr:uid="{00000000-0005-0000-0000-00003C000000}"/>
    <cellStyle name="Обычный 3 4 2 3" xfId="1440" xr:uid="{00000000-0005-0000-0000-00003C000000}"/>
    <cellStyle name="Обычный 3 4 2 3 2" xfId="4435" xr:uid="{00000000-0005-0000-0000-00003C000000}"/>
    <cellStyle name="Обычный 3 4 2 4" xfId="643" xr:uid="{00000000-0005-0000-0000-00003C000000}"/>
    <cellStyle name="Обычный 3 4 2 4 2" xfId="3642" xr:uid="{00000000-0005-0000-0000-00003C000000}"/>
    <cellStyle name="Обычный 3 4 2 5" xfId="2495" xr:uid="{00000000-0005-0000-0000-00003C000000}"/>
    <cellStyle name="Обычный 3 4 2 5 2" xfId="5489" xr:uid="{00000000-0005-0000-0000-00003C000000}"/>
    <cellStyle name="Обычный 3 4 2 6" xfId="3196" xr:uid="{00000000-0005-0000-0000-00003C000000}"/>
    <cellStyle name="Обычный 3 4 3" xfId="243" xr:uid="{00000000-0005-0000-0000-00003C000000}"/>
    <cellStyle name="Обычный 3 4 3 2" xfId="1013" xr:uid="{00000000-0005-0000-0000-00003C000000}"/>
    <cellStyle name="Обычный 3 4 3 2 2" xfId="4008" xr:uid="{00000000-0005-0000-0000-00003C000000}"/>
    <cellStyle name="Обычный 3 4 3 3" xfId="2760" xr:uid="{00000000-0005-0000-0000-00003C000000}"/>
    <cellStyle name="Обычный 3 4 3 3 2" xfId="5754" xr:uid="{00000000-0005-0000-0000-00003C000000}"/>
    <cellStyle name="Обычный 3 4 3 4" xfId="3266" xr:uid="{00000000-0005-0000-0000-00003C000000}"/>
    <cellStyle name="Обычный 3 4 4" xfId="388" xr:uid="{00000000-0005-0000-0000-00003C000000}"/>
    <cellStyle name="Обычный 3 4 4 2" xfId="1369" xr:uid="{00000000-0005-0000-0000-00003C000000}"/>
    <cellStyle name="Обычный 3 4 4 2 2" xfId="4364" xr:uid="{00000000-0005-0000-0000-00003C000000}"/>
    <cellStyle name="Обычный 3 4 4 3" xfId="3411" xr:uid="{00000000-0005-0000-0000-00003C000000}"/>
    <cellStyle name="Обычный 3 4 5" xfId="572" xr:uid="{00000000-0005-0000-0000-00003C000000}"/>
    <cellStyle name="Обычный 3 4 5 2" xfId="3571" xr:uid="{00000000-0005-0000-0000-00003C000000}"/>
    <cellStyle name="Обычный 3 4 6" xfId="2423" xr:uid="{00000000-0005-0000-0000-00003C000000}"/>
    <cellStyle name="Обычный 3 4 6 2" xfId="5417" xr:uid="{00000000-0005-0000-0000-00003C000000}"/>
    <cellStyle name="Обычный 3 4 7" xfId="3121" xr:uid="{00000000-0005-0000-0000-00003C000000}"/>
    <cellStyle name="Обычный 3 5" xfId="116" xr:uid="{00000000-0005-0000-0000-00003C000000}"/>
    <cellStyle name="Обычный 3 5 2" xfId="190" xr:uid="{00000000-0005-0000-0000-00003C000000}"/>
    <cellStyle name="Обычный 3 5 2 2" xfId="335" xr:uid="{00000000-0005-0000-0000-00003C000000}"/>
    <cellStyle name="Обычный 3 5 2 2 2" xfId="1099" xr:uid="{00000000-0005-0000-0000-00003C000000}"/>
    <cellStyle name="Обычный 3 5 2 2 2 2" xfId="4094" xr:uid="{00000000-0005-0000-0000-00003C000000}"/>
    <cellStyle name="Обычный 3 5 2 2 3" xfId="2849" xr:uid="{00000000-0005-0000-0000-00003C000000}"/>
    <cellStyle name="Обычный 3 5 2 2 3 2" xfId="5843" xr:uid="{00000000-0005-0000-0000-00003C000000}"/>
    <cellStyle name="Обычный 3 5 2 2 4" xfId="3358" xr:uid="{00000000-0005-0000-0000-00003C000000}"/>
    <cellStyle name="Обычный 3 5 2 3" xfId="1458" xr:uid="{00000000-0005-0000-0000-00003C000000}"/>
    <cellStyle name="Обычный 3 5 2 3 2" xfId="4453" xr:uid="{00000000-0005-0000-0000-00003C000000}"/>
    <cellStyle name="Обычный 3 5 2 4" xfId="661" xr:uid="{00000000-0005-0000-0000-00003C000000}"/>
    <cellStyle name="Обычный 3 5 2 4 2" xfId="3660" xr:uid="{00000000-0005-0000-0000-00003C000000}"/>
    <cellStyle name="Обычный 3 5 2 5" xfId="2513" xr:uid="{00000000-0005-0000-0000-00003C000000}"/>
    <cellStyle name="Обычный 3 5 2 5 2" xfId="5507" xr:uid="{00000000-0005-0000-0000-00003C000000}"/>
    <cellStyle name="Обычный 3 5 2 6" xfId="3213" xr:uid="{00000000-0005-0000-0000-00003C000000}"/>
    <cellStyle name="Обычный 3 5 3" xfId="261" xr:uid="{00000000-0005-0000-0000-00003C000000}"/>
    <cellStyle name="Обычный 3 5 3 2" xfId="1029" xr:uid="{00000000-0005-0000-0000-00003C000000}"/>
    <cellStyle name="Обычный 3 5 3 2 2" xfId="4024" xr:uid="{00000000-0005-0000-0000-00003C000000}"/>
    <cellStyle name="Обычный 3 5 3 3" xfId="2777" xr:uid="{00000000-0005-0000-0000-00003C000000}"/>
    <cellStyle name="Обычный 3 5 3 3 2" xfId="5771" xr:uid="{00000000-0005-0000-0000-00003C000000}"/>
    <cellStyle name="Обычный 3 5 3 4" xfId="3284" xr:uid="{00000000-0005-0000-0000-00003C000000}"/>
    <cellStyle name="Обычный 3 5 4" xfId="406" xr:uid="{00000000-0005-0000-0000-00003C000000}"/>
    <cellStyle name="Обычный 3 5 4 2" xfId="1386" xr:uid="{00000000-0005-0000-0000-00003C000000}"/>
    <cellStyle name="Обычный 3 5 4 2 2" xfId="4381" xr:uid="{00000000-0005-0000-0000-00003C000000}"/>
    <cellStyle name="Обычный 3 5 4 3" xfId="3429" xr:uid="{00000000-0005-0000-0000-00003C000000}"/>
    <cellStyle name="Обычный 3 5 5" xfId="589" xr:uid="{00000000-0005-0000-0000-00003C000000}"/>
    <cellStyle name="Обычный 3 5 5 2" xfId="3588" xr:uid="{00000000-0005-0000-0000-00003C000000}"/>
    <cellStyle name="Обычный 3 5 6" xfId="2441" xr:uid="{00000000-0005-0000-0000-00003C000000}"/>
    <cellStyle name="Обычный 3 5 6 2" xfId="5435" xr:uid="{00000000-0005-0000-0000-00003C000000}"/>
    <cellStyle name="Обычный 3 5 7" xfId="3139" xr:uid="{00000000-0005-0000-0000-00003C000000}"/>
    <cellStyle name="Обычный 3 6" xfId="77" xr:uid="{00000000-0005-0000-0000-00003C000000}"/>
    <cellStyle name="Обычный 3 6 2" xfId="156" xr:uid="{00000000-0005-0000-0000-00003C000000}"/>
    <cellStyle name="Обычный 3 6 2 2" xfId="301" xr:uid="{00000000-0005-0000-0000-00003C000000}"/>
    <cellStyle name="Обычный 3 6 2 2 2" xfId="1063" xr:uid="{00000000-0005-0000-0000-00003C000000}"/>
    <cellStyle name="Обычный 3 6 2 2 2 2" xfId="4058" xr:uid="{00000000-0005-0000-0000-00003C000000}"/>
    <cellStyle name="Обычный 3 6 2 2 3" xfId="2813" xr:uid="{00000000-0005-0000-0000-00003C000000}"/>
    <cellStyle name="Обычный 3 6 2 2 3 2" xfId="5807" xr:uid="{00000000-0005-0000-0000-00003C000000}"/>
    <cellStyle name="Обычный 3 6 2 2 4" xfId="3324" xr:uid="{00000000-0005-0000-0000-00003C000000}"/>
    <cellStyle name="Обычный 3 6 2 3" xfId="1422" xr:uid="{00000000-0005-0000-0000-00003C000000}"/>
    <cellStyle name="Обычный 3 6 2 3 2" xfId="4417" xr:uid="{00000000-0005-0000-0000-00003C000000}"/>
    <cellStyle name="Обычный 3 6 2 4" xfId="625" xr:uid="{00000000-0005-0000-0000-00003C000000}"/>
    <cellStyle name="Обычный 3 6 2 4 2" xfId="3624" xr:uid="{00000000-0005-0000-0000-00003C000000}"/>
    <cellStyle name="Обычный 3 6 2 5" xfId="2477" xr:uid="{00000000-0005-0000-0000-00003C000000}"/>
    <cellStyle name="Обычный 3 6 2 5 2" xfId="5471" xr:uid="{00000000-0005-0000-0000-00003C000000}"/>
    <cellStyle name="Обычный 3 6 2 6" xfId="3179" xr:uid="{00000000-0005-0000-0000-00003C000000}"/>
    <cellStyle name="Обычный 3 6 3" xfId="225" xr:uid="{00000000-0005-0000-0000-00003C000000}"/>
    <cellStyle name="Обычный 3 6 3 2" xfId="997" xr:uid="{00000000-0005-0000-0000-00003C000000}"/>
    <cellStyle name="Обычный 3 6 3 2 2" xfId="3992" xr:uid="{00000000-0005-0000-0000-00003C000000}"/>
    <cellStyle name="Обычный 3 6 3 3" xfId="2742" xr:uid="{00000000-0005-0000-0000-00003C000000}"/>
    <cellStyle name="Обычный 3 6 3 3 2" xfId="5736" xr:uid="{00000000-0005-0000-0000-00003C000000}"/>
    <cellStyle name="Обычный 3 6 3 4" xfId="3248" xr:uid="{00000000-0005-0000-0000-00003C000000}"/>
    <cellStyle name="Обычный 3 6 4" xfId="370" xr:uid="{00000000-0005-0000-0000-00003C000000}"/>
    <cellStyle name="Обычный 3 6 4 2" xfId="1351" xr:uid="{00000000-0005-0000-0000-00003C000000}"/>
    <cellStyle name="Обычный 3 6 4 2 2" xfId="4346" xr:uid="{00000000-0005-0000-0000-00003C000000}"/>
    <cellStyle name="Обычный 3 6 4 3" xfId="3393" xr:uid="{00000000-0005-0000-0000-00003C000000}"/>
    <cellStyle name="Обычный 3 6 5" xfId="554" xr:uid="{00000000-0005-0000-0000-00003C000000}"/>
    <cellStyle name="Обычный 3 6 5 2" xfId="3553" xr:uid="{00000000-0005-0000-0000-00003C000000}"/>
    <cellStyle name="Обычный 3 6 6" xfId="2405" xr:uid="{00000000-0005-0000-0000-00003C000000}"/>
    <cellStyle name="Обычный 3 6 6 2" xfId="5399" xr:uid="{00000000-0005-0000-0000-00003C000000}"/>
    <cellStyle name="Обычный 3 6 7" xfId="3103" xr:uid="{00000000-0005-0000-0000-00003C000000}"/>
    <cellStyle name="Обычный 3 7" xfId="140" xr:uid="{00000000-0005-0000-0000-00003C000000}"/>
    <cellStyle name="Обычный 3 7 2" xfId="285" xr:uid="{00000000-0005-0000-0000-00003C000000}"/>
    <cellStyle name="Обычный 3 7 2 2" xfId="1122" xr:uid="{00000000-0005-0000-0000-00003C000000}"/>
    <cellStyle name="Обычный 3 7 2 2 2" xfId="4117" xr:uid="{00000000-0005-0000-0000-00003C000000}"/>
    <cellStyle name="Обычный 3 7 2 3" xfId="2875" xr:uid="{00000000-0005-0000-0000-00003C000000}"/>
    <cellStyle name="Обычный 3 7 2 3 2" xfId="5869" xr:uid="{00000000-0005-0000-0000-00003C000000}"/>
    <cellStyle name="Обычный 3 7 2 4" xfId="3308" xr:uid="{00000000-0005-0000-0000-00003C000000}"/>
    <cellStyle name="Обычный 3 7 3" xfId="1484" xr:uid="{00000000-0005-0000-0000-00003C000000}"/>
    <cellStyle name="Обычный 3 7 3 2" xfId="4479" xr:uid="{00000000-0005-0000-0000-00003C000000}"/>
    <cellStyle name="Обычный 3 7 4" xfId="689" xr:uid="{00000000-0005-0000-0000-00003C000000}"/>
    <cellStyle name="Обычный 3 7 4 2" xfId="3686" xr:uid="{00000000-0005-0000-0000-00003C000000}"/>
    <cellStyle name="Обычный 3 7 5" xfId="2540" xr:uid="{00000000-0005-0000-0000-00003C000000}"/>
    <cellStyle name="Обычный 3 7 5 2" xfId="5534" xr:uid="{00000000-0005-0000-0000-00003C000000}"/>
    <cellStyle name="Обычный 3 7 6" xfId="3163" xr:uid="{00000000-0005-0000-0000-00003C000000}"/>
    <cellStyle name="Обычный 3 8" xfId="207" xr:uid="{00000000-0005-0000-0000-00003C000000}"/>
    <cellStyle name="Обычный 3 8 2" xfId="1045" xr:uid="{00000000-0005-0000-0000-00003C000000}"/>
    <cellStyle name="Обычный 3 8 2 2" xfId="2795" xr:uid="{00000000-0005-0000-0000-00003C000000}"/>
    <cellStyle name="Обычный 3 8 2 2 2" xfId="5789" xr:uid="{00000000-0005-0000-0000-00003C000000}"/>
    <cellStyle name="Обычный 3 8 2 3" xfId="4040" xr:uid="{00000000-0005-0000-0000-00003C000000}"/>
    <cellStyle name="Обычный 3 8 3" xfId="1404" xr:uid="{00000000-0005-0000-0000-00003C000000}"/>
    <cellStyle name="Обычный 3 8 3 2" xfId="4399" xr:uid="{00000000-0005-0000-0000-00003C000000}"/>
    <cellStyle name="Обычный 3 8 4" xfId="607" xr:uid="{00000000-0005-0000-0000-00003C000000}"/>
    <cellStyle name="Обычный 3 8 4 2" xfId="3606" xr:uid="{00000000-0005-0000-0000-00003C000000}"/>
    <cellStyle name="Обычный 3 8 5" xfId="2459" xr:uid="{00000000-0005-0000-0000-00003C000000}"/>
    <cellStyle name="Обычный 3 8 5 2" xfId="5453" xr:uid="{00000000-0005-0000-0000-00003C000000}"/>
    <cellStyle name="Обычный 3 8 6" xfId="3230" xr:uid="{00000000-0005-0000-0000-00003C000000}"/>
    <cellStyle name="Обычный 3 9" xfId="352" xr:uid="{00000000-0005-0000-0000-00003C000000}"/>
    <cellStyle name="Обычный 3 9 2" xfId="1149" xr:uid="{00000000-0005-0000-0000-00003C000000}"/>
    <cellStyle name="Обычный 3 9 2 2" xfId="4144" xr:uid="{00000000-0005-0000-0000-00003C000000}"/>
    <cellStyle name="Обычный 3 9 3" xfId="1589" xr:uid="{00000000-0005-0000-0000-00003C000000}"/>
    <cellStyle name="Обычный 3 9 3 2" xfId="4584" xr:uid="{00000000-0005-0000-0000-00003C000000}"/>
    <cellStyle name="Обычный 3 9 4" xfId="795" xr:uid="{00000000-0005-0000-0000-00003C000000}"/>
    <cellStyle name="Обычный 3 9 4 2" xfId="3791" xr:uid="{00000000-0005-0000-0000-00003C000000}"/>
    <cellStyle name="Обычный 3 9 5" xfId="2980" xr:uid="{00000000-0005-0000-0000-00003C000000}"/>
    <cellStyle name="Обычный 3 9 5 2" xfId="5974" xr:uid="{00000000-0005-0000-0000-00003C000000}"/>
    <cellStyle name="Обычный 3 9 6" xfId="3375" xr:uid="{00000000-0005-0000-0000-00003C000000}"/>
    <cellStyle name="Обычный 4" xfId="57" xr:uid="{00000000-0005-0000-0000-000040000000}"/>
    <cellStyle name="Обычный 4 2" xfId="454" xr:uid="{00000000-0005-0000-0000-000040000000}"/>
    <cellStyle name="Обычный 4 3" xfId="681" xr:uid="{6B846B4E-1665-44D7-B222-DC9D4383CB39}"/>
    <cellStyle name="Обычный 4 3 2" xfId="1117" xr:uid="{6B846B4E-1665-44D7-B222-DC9D4383CB39}"/>
    <cellStyle name="Обычный 4 3 2 2" xfId="2868" xr:uid="{6B846B4E-1665-44D7-B222-DC9D4383CB39}"/>
    <cellStyle name="Обычный 4 3 2 2 2" xfId="5862" xr:uid="{6B846B4E-1665-44D7-B222-DC9D4383CB39}"/>
    <cellStyle name="Обычный 4 3 2 3" xfId="4112" xr:uid="{6B846B4E-1665-44D7-B222-DC9D4383CB39}"/>
    <cellStyle name="Обычный 4 3 3" xfId="1477" xr:uid="{6B846B4E-1665-44D7-B222-DC9D4383CB39}"/>
    <cellStyle name="Обычный 4 3 3 2" xfId="4472" xr:uid="{6B846B4E-1665-44D7-B222-DC9D4383CB39}"/>
    <cellStyle name="Обычный 4 3 4" xfId="2532" xr:uid="{6B846B4E-1665-44D7-B222-DC9D4383CB39}"/>
    <cellStyle name="Обычный 4 3 4 2" xfId="5526" xr:uid="{6B846B4E-1665-44D7-B222-DC9D4383CB39}"/>
    <cellStyle name="Обычный 4 3 5" xfId="3679" xr:uid="{6B846B4E-1665-44D7-B222-DC9D4383CB39}"/>
    <cellStyle name="Обычный 4 4" xfId="787" xr:uid="{6B846B4E-1665-44D7-B222-DC9D4383CB39}"/>
    <cellStyle name="Обычный 4 4 2" xfId="1141" xr:uid="{6B846B4E-1665-44D7-B222-DC9D4383CB39}"/>
    <cellStyle name="Обычный 4 4 2 2" xfId="4136" xr:uid="{6B846B4E-1665-44D7-B222-DC9D4383CB39}"/>
    <cellStyle name="Обычный 4 4 3" xfId="1581" xr:uid="{6B846B4E-1665-44D7-B222-DC9D4383CB39}"/>
    <cellStyle name="Обычный 4 4 3 2" xfId="4576" xr:uid="{6B846B4E-1665-44D7-B222-DC9D4383CB39}"/>
    <cellStyle name="Обычный 4 4 4" xfId="2972" xr:uid="{6B846B4E-1665-44D7-B222-DC9D4383CB39}"/>
    <cellStyle name="Обычный 4 4 4 2" xfId="5966" xr:uid="{6B846B4E-1665-44D7-B222-DC9D4383CB39}"/>
    <cellStyle name="Обычный 4 4 5" xfId="3783" xr:uid="{6B846B4E-1665-44D7-B222-DC9D4383CB39}"/>
    <cellStyle name="Обычный 4 5" xfId="437" xr:uid="{6B846B4E-1665-44D7-B222-DC9D4383CB39}"/>
    <cellStyle name="Обычный 4 5 2" xfId="2637" xr:uid="{6B846B4E-1665-44D7-B222-DC9D4383CB39}"/>
    <cellStyle name="Обычный 4 5 2 2" xfId="5631" xr:uid="{6B846B4E-1665-44D7-B222-DC9D4383CB39}"/>
    <cellStyle name="Обычный 4 5 3" xfId="3449" xr:uid="{6B846B4E-1665-44D7-B222-DC9D4383CB39}"/>
    <cellStyle name="Обычный 4 6" xfId="1246" xr:uid="{6B846B4E-1665-44D7-B222-DC9D4383CB39}"/>
    <cellStyle name="Обычный 4 6 2" xfId="4241" xr:uid="{6B846B4E-1665-44D7-B222-DC9D4383CB39}"/>
    <cellStyle name="Обычный 4 7" xfId="424" xr:uid="{53289A1D-85D9-407F-B51A-B8B8E56169B4}"/>
    <cellStyle name="Обычный 5" xfId="16" xr:uid="{00000000-0005-0000-0000-000041000000}"/>
    <cellStyle name="Обычный 5 2" xfId="450" xr:uid="{00000000-0005-0000-0000-000041000000}"/>
    <cellStyle name="Обычный 5 3" xfId="425" xr:uid="{766EBBAC-F448-4B0E-AA7E-D22591D319C3}"/>
    <cellStyle name="Обычный 6" xfId="4" xr:uid="{551E36AC-D32B-4EE2-893C-47A2490CCFF7}"/>
    <cellStyle name="Обычный 6 2" xfId="444" xr:uid="{A67706D4-EFF7-476F-BE30-6922348C71FD}"/>
    <cellStyle name="Обычный 6 3" xfId="426" xr:uid="{3B800349-D3AE-47FF-88EF-C2BD2E64AD44}"/>
    <cellStyle name="Обычный 7" xfId="111" xr:uid="{3A33769C-6C97-4787-90D6-2E119E79B45B}"/>
    <cellStyle name="Обычный 7 2" xfId="467" xr:uid="{00000000-0005-0000-0000-00006D000000}"/>
    <cellStyle name="Обычный 7 3" xfId="445" xr:uid="{00000000-0005-0000-0000-00006D000000}"/>
    <cellStyle name="Обычный 7 4" xfId="427" xr:uid="{40941FBA-559B-4575-BA63-6B85F2AD2B99}"/>
    <cellStyle name="Обычный 8" xfId="428" xr:uid="{279886F1-8996-450E-B398-3FAD27DF71FF}"/>
    <cellStyle name="Обычный 8 2" xfId="443" xr:uid="{4067457B-8E55-49FB-A5C2-1F5DE63A4A9B}"/>
    <cellStyle name="Обычный 9" xfId="429" xr:uid="{A20CB0FA-8BB7-4921-AB6E-903465349AB4}"/>
    <cellStyle name="Обычный 9 2" xfId="469" xr:uid="{00000000-0005-0000-0000-00007F000000}"/>
    <cellStyle name="Процентный 2" xfId="3" xr:uid="{674A6141-A94E-4FC2-85CD-AF26AEB1B2F1}"/>
    <cellStyle name="Процентный 2 2" xfId="439" xr:uid="{C2449D98-A6B9-44BF-96E4-5293789EEF05}"/>
    <cellStyle name="Процентный 2 2 2" xfId="788" xr:uid="{C2449D98-A6B9-44BF-96E4-5293789EEF05}"/>
    <cellStyle name="Процентный 2 2 2 2" xfId="1142" xr:uid="{C2449D98-A6B9-44BF-96E4-5293789EEF05}"/>
    <cellStyle name="Процентный 2 2 2 2 2" xfId="4137" xr:uid="{C2449D98-A6B9-44BF-96E4-5293789EEF05}"/>
    <cellStyle name="Процентный 2 2 2 3" xfId="1582" xr:uid="{C2449D98-A6B9-44BF-96E4-5293789EEF05}"/>
    <cellStyle name="Процентный 2 2 2 3 2" xfId="4577" xr:uid="{C2449D98-A6B9-44BF-96E4-5293789EEF05}"/>
    <cellStyle name="Процентный 2 2 2 4" xfId="2973" xr:uid="{C2449D98-A6B9-44BF-96E4-5293789EEF05}"/>
    <cellStyle name="Процентный 2 2 2 4 2" xfId="5967" xr:uid="{C2449D98-A6B9-44BF-96E4-5293789EEF05}"/>
    <cellStyle name="Процентный 2 2 2 5" xfId="3784" xr:uid="{C2449D98-A6B9-44BF-96E4-5293789EEF05}"/>
    <cellStyle name="Процентный 2 2 3" xfId="927" xr:uid="{C2449D98-A6B9-44BF-96E4-5293789EEF05}"/>
    <cellStyle name="Процентный 2 2 3 2" xfId="2638" xr:uid="{C2449D98-A6B9-44BF-96E4-5293789EEF05}"/>
    <cellStyle name="Процентный 2 2 3 2 2" xfId="5632" xr:uid="{C2449D98-A6B9-44BF-96E4-5293789EEF05}"/>
    <cellStyle name="Процентный 2 2 3 3" xfId="3922" xr:uid="{C2449D98-A6B9-44BF-96E4-5293789EEF05}"/>
    <cellStyle name="Процентный 2 2 4" xfId="1247" xr:uid="{C2449D98-A6B9-44BF-96E4-5293789EEF05}"/>
    <cellStyle name="Процентный 2 2 4 2" xfId="4242" xr:uid="{C2449D98-A6B9-44BF-96E4-5293789EEF05}"/>
    <cellStyle name="Процентный 2 2 5" xfId="2533" xr:uid="{C2449D98-A6B9-44BF-96E4-5293789EEF05}"/>
    <cellStyle name="Процентный 2 2 5 2" xfId="5527" xr:uid="{C2449D98-A6B9-44BF-96E4-5293789EEF05}"/>
    <cellStyle name="Процентный 2 2 6" xfId="3450" xr:uid="{C2449D98-A6B9-44BF-96E4-5293789EEF05}"/>
    <cellStyle name="Процентный 3" xfId="71" xr:uid="{447FEFAF-6398-4AF0-874C-4A501ED77784}"/>
    <cellStyle name="Процентный 4" xfId="703" xr:uid="{00000000-0005-0000-0000-0000E8000000}"/>
    <cellStyle name="Процентный 4 2" xfId="1134" xr:uid="{00000000-0005-0000-0000-0000E8000000}"/>
    <cellStyle name="Процентный 4 2 2" xfId="2889" xr:uid="{00000000-0005-0000-0000-0000E8000000}"/>
    <cellStyle name="Процентный 4 2 2 2" xfId="5883" xr:uid="{00000000-0005-0000-0000-0000E8000000}"/>
    <cellStyle name="Процентный 4 2 3" xfId="4129" xr:uid="{00000000-0005-0000-0000-0000E8000000}"/>
    <cellStyle name="Процентный 4 3" xfId="1498" xr:uid="{00000000-0005-0000-0000-0000E8000000}"/>
    <cellStyle name="Процентный 4 3 2" xfId="4493" xr:uid="{00000000-0005-0000-0000-0000E8000000}"/>
    <cellStyle name="Процентный 4 4" xfId="2554" xr:uid="{00000000-0005-0000-0000-0000E8000000}"/>
    <cellStyle name="Процентный 4 4 2" xfId="5548" xr:uid="{00000000-0005-0000-0000-0000E8000000}"/>
    <cellStyle name="Процентный 4 5" xfId="3700" xr:uid="{00000000-0005-0000-0000-0000E8000000}"/>
    <cellStyle name="Процентный 5" xfId="809" xr:uid="{00000000-0005-0000-0000-00009C010000}"/>
    <cellStyle name="Процентный 5 2" xfId="1163" xr:uid="{00000000-0005-0000-0000-00009C010000}"/>
    <cellStyle name="Процентный 5 2 2" xfId="4158" xr:uid="{00000000-0005-0000-0000-00009C010000}"/>
    <cellStyle name="Процентный 5 3" xfId="1603" xr:uid="{00000000-0005-0000-0000-00009C010000}"/>
    <cellStyle name="Процентный 5 3 2" xfId="4598" xr:uid="{00000000-0005-0000-0000-00009C010000}"/>
    <cellStyle name="Процентный 5 4" xfId="2994" xr:uid="{00000000-0005-0000-0000-00009C010000}"/>
    <cellStyle name="Процентный 5 4 2" xfId="5988" xr:uid="{00000000-0005-0000-0000-00009C010000}"/>
    <cellStyle name="Процентный 5 5" xfId="3805" xr:uid="{00000000-0005-0000-0000-00009C010000}"/>
    <cellStyle name="Процентный 6" xfId="431" xr:uid="{D2577AC9-5763-4E1E-8DE7-4242C3CB34A7}"/>
    <cellStyle name="Процентный 6 2" xfId="2659" xr:uid="{00000000-0005-0000-0000-000089020000}"/>
    <cellStyle name="Процентный 6 2 2" xfId="5653" xr:uid="{00000000-0005-0000-0000-000089020000}"/>
    <cellStyle name="Процентный 6 3" xfId="3444" xr:uid="{D2577AC9-5763-4E1E-8DE7-4242C3CB34A7}"/>
    <cellStyle name="Процентный 7" xfId="948" xr:uid="{00000000-0005-0000-0000-0000F4020000}"/>
    <cellStyle name="Процентный 7 2" xfId="3943" xr:uid="{00000000-0005-0000-0000-0000F4020000}"/>
    <cellStyle name="Процентный 8" xfId="1268" xr:uid="{00000000-0005-0000-0000-0000AD040000}"/>
    <cellStyle name="Процентный 8 2" xfId="4263" xr:uid="{00000000-0005-0000-0000-0000AD040000}"/>
    <cellStyle name="Финансовый 2" xfId="440" xr:uid="{3E2EA4B5-0D24-48E1-9527-91DFF2D7ACF2}"/>
    <cellStyle name="Финансовый 2 10" xfId="919" xr:uid="{3E2EA4B5-0D24-48E1-9527-91DFF2D7ACF2}"/>
    <cellStyle name="Финансовый 2 10 2" xfId="1966" xr:uid="{3E2EA4B5-0D24-48E1-9527-91DFF2D7ACF2}"/>
    <cellStyle name="Финансовый 2 10 2 2" xfId="4960" xr:uid="{3E2EA4B5-0D24-48E1-9527-91DFF2D7ACF2}"/>
    <cellStyle name="Финансовый 2 10 3" xfId="2639" xr:uid="{3E2EA4B5-0D24-48E1-9527-91DFF2D7ACF2}"/>
    <cellStyle name="Финансовый 2 10 3 2" xfId="5633" xr:uid="{3E2EA4B5-0D24-48E1-9527-91DFF2D7ACF2}"/>
    <cellStyle name="Финансовый 2 10 4" xfId="3914" xr:uid="{3E2EA4B5-0D24-48E1-9527-91DFF2D7ACF2}"/>
    <cellStyle name="Финансовый 2 11" xfId="1248" xr:uid="{3E2EA4B5-0D24-48E1-9527-91DFF2D7ACF2}"/>
    <cellStyle name="Финансовый 2 11 2" xfId="2123" xr:uid="{3E2EA4B5-0D24-48E1-9527-91DFF2D7ACF2}"/>
    <cellStyle name="Финансовый 2 11 2 2" xfId="5117" xr:uid="{3E2EA4B5-0D24-48E1-9527-91DFF2D7ACF2}"/>
    <cellStyle name="Финансовый 2 11 3" xfId="4243" xr:uid="{3E2EA4B5-0D24-48E1-9527-91DFF2D7ACF2}"/>
    <cellStyle name="Финансовый 2 12" xfId="1684" xr:uid="{3E2EA4B5-0D24-48E1-9527-91DFF2D7ACF2}"/>
    <cellStyle name="Финансовый 2 12 2" xfId="4679" xr:uid="{3E2EA4B5-0D24-48E1-9527-91DFF2D7ACF2}"/>
    <cellStyle name="Финансовый 2 13" xfId="2534" xr:uid="{3E2EA4B5-0D24-48E1-9527-91DFF2D7ACF2}"/>
    <cellStyle name="Финансовый 2 13 2" xfId="5528" xr:uid="{3E2EA4B5-0D24-48E1-9527-91DFF2D7ACF2}"/>
    <cellStyle name="Финансовый 2 14" xfId="3451" xr:uid="{3E2EA4B5-0D24-48E1-9527-91DFF2D7ACF2}"/>
    <cellStyle name="Финансовый 2 2" xfId="441" xr:uid="{3E2EA4B5-0D24-48E1-9527-91DFF2D7ACF2}"/>
    <cellStyle name="Финансовый 2 2 10" xfId="1249" xr:uid="{3E2EA4B5-0D24-48E1-9527-91DFF2D7ACF2}"/>
    <cellStyle name="Финансовый 2 2 10 2" xfId="2124" xr:uid="{3E2EA4B5-0D24-48E1-9527-91DFF2D7ACF2}"/>
    <cellStyle name="Финансовый 2 2 10 2 2" xfId="5118" xr:uid="{3E2EA4B5-0D24-48E1-9527-91DFF2D7ACF2}"/>
    <cellStyle name="Финансовый 2 2 10 3" xfId="4244" xr:uid="{3E2EA4B5-0D24-48E1-9527-91DFF2D7ACF2}"/>
    <cellStyle name="Финансовый 2 2 11" xfId="1685" xr:uid="{3E2EA4B5-0D24-48E1-9527-91DFF2D7ACF2}"/>
    <cellStyle name="Финансовый 2 2 11 2" xfId="4680" xr:uid="{3E2EA4B5-0D24-48E1-9527-91DFF2D7ACF2}"/>
    <cellStyle name="Финансовый 2 2 12" xfId="2535" xr:uid="{3E2EA4B5-0D24-48E1-9527-91DFF2D7ACF2}"/>
    <cellStyle name="Финансовый 2 2 12 2" xfId="5529" xr:uid="{3E2EA4B5-0D24-48E1-9527-91DFF2D7ACF2}"/>
    <cellStyle name="Финансовый 2 2 13" xfId="3452" xr:uid="{3E2EA4B5-0D24-48E1-9527-91DFF2D7ACF2}"/>
    <cellStyle name="Финансовый 2 2 2" xfId="466" xr:uid="{3E2EA4B5-0D24-48E1-9527-91DFF2D7ACF2}"/>
    <cellStyle name="Финансовый 2 2 2 10" xfId="1687" xr:uid="{3E2EA4B5-0D24-48E1-9527-91DFF2D7ACF2}"/>
    <cellStyle name="Финансовый 2 2 2 10 2" xfId="4682" xr:uid="{3E2EA4B5-0D24-48E1-9527-91DFF2D7ACF2}"/>
    <cellStyle name="Финансовый 2 2 2 11" xfId="2552" xr:uid="{3E2EA4B5-0D24-48E1-9527-91DFF2D7ACF2}"/>
    <cellStyle name="Финансовый 2 2 2 11 2" xfId="5546" xr:uid="{3E2EA4B5-0D24-48E1-9527-91DFF2D7ACF2}"/>
    <cellStyle name="Финансовый 2 2 2 12" xfId="3469" xr:uid="{3E2EA4B5-0D24-48E1-9527-91DFF2D7ACF2}"/>
    <cellStyle name="Финансовый 2 2 2 2" xfId="475" xr:uid="{3E2EA4B5-0D24-48E1-9527-91DFF2D7ACF2}"/>
    <cellStyle name="Финансовый 2 2 2 2 10" xfId="2560" xr:uid="{3E2EA4B5-0D24-48E1-9527-91DFF2D7ACF2}"/>
    <cellStyle name="Финансовый 2 2 2 2 10 2" xfId="5554" xr:uid="{3E2EA4B5-0D24-48E1-9527-91DFF2D7ACF2}"/>
    <cellStyle name="Финансовый 2 2 2 2 11" xfId="3476" xr:uid="{3E2EA4B5-0D24-48E1-9527-91DFF2D7ACF2}"/>
    <cellStyle name="Финансовый 2 2 2 2 2" xfId="489" xr:uid="{3E2EA4B5-0D24-48E1-9527-91DFF2D7ACF2}"/>
    <cellStyle name="Финансовый 2 2 2 2 2 10" xfId="3490" xr:uid="{3E2EA4B5-0D24-48E1-9527-91DFF2D7ACF2}"/>
    <cellStyle name="Финансовый 2 2 2 2 2 2" xfId="519" xr:uid="{3E2EA4B5-0D24-48E1-9527-91DFF2D7ACF2}"/>
    <cellStyle name="Финансовый 2 2 2 2 2 2 2" xfId="857" xr:uid="{3E2EA4B5-0D24-48E1-9527-91DFF2D7ACF2}"/>
    <cellStyle name="Финансовый 2 2 2 2 2 2 2 2" xfId="1211" xr:uid="{3E2EA4B5-0D24-48E1-9527-91DFF2D7ACF2}"/>
    <cellStyle name="Финансовый 2 2 2 2 2 2 2 2 2" xfId="2091" xr:uid="{3E2EA4B5-0D24-48E1-9527-91DFF2D7ACF2}"/>
    <cellStyle name="Финансовый 2 2 2 2 2 2 2 2 2 2" xfId="5085" xr:uid="{3E2EA4B5-0D24-48E1-9527-91DFF2D7ACF2}"/>
    <cellStyle name="Финансовый 2 2 2 2 2 2 2 2 3" xfId="4206" xr:uid="{3E2EA4B5-0D24-48E1-9527-91DFF2D7ACF2}"/>
    <cellStyle name="Финансовый 2 2 2 2 2 2 2 3" xfId="1651" xr:uid="{3E2EA4B5-0D24-48E1-9527-91DFF2D7ACF2}"/>
    <cellStyle name="Финансовый 2 2 2 2 2 2 2 3 2" xfId="2351" xr:uid="{3E2EA4B5-0D24-48E1-9527-91DFF2D7ACF2}"/>
    <cellStyle name="Финансовый 2 2 2 2 2 2 2 3 2 2" xfId="5345" xr:uid="{3E2EA4B5-0D24-48E1-9527-91DFF2D7ACF2}"/>
    <cellStyle name="Финансовый 2 2 2 2 2 2 2 3 3" xfId="4646" xr:uid="{3E2EA4B5-0D24-48E1-9527-91DFF2D7ACF2}"/>
    <cellStyle name="Финансовый 2 2 2 2 2 2 2 4" xfId="1912" xr:uid="{3E2EA4B5-0D24-48E1-9527-91DFF2D7ACF2}"/>
    <cellStyle name="Финансовый 2 2 2 2 2 2 2 4 2" xfId="4907" xr:uid="{3E2EA4B5-0D24-48E1-9527-91DFF2D7ACF2}"/>
    <cellStyle name="Финансовый 2 2 2 2 2 2 2 5" xfId="3042" xr:uid="{3E2EA4B5-0D24-48E1-9527-91DFF2D7ACF2}"/>
    <cellStyle name="Финансовый 2 2 2 2 2 2 2 5 2" xfId="6036" xr:uid="{3E2EA4B5-0D24-48E1-9527-91DFF2D7ACF2}"/>
    <cellStyle name="Финансовый 2 2 2 2 2 2 2 6" xfId="3853" xr:uid="{3E2EA4B5-0D24-48E1-9527-91DFF2D7ACF2}"/>
    <cellStyle name="Финансовый 2 2 2 2 2 2 3" xfId="752" xr:uid="{3E2EA4B5-0D24-48E1-9527-91DFF2D7ACF2}"/>
    <cellStyle name="Финансовый 2 2 2 2 2 2 3 2" xfId="1546" xr:uid="{3E2EA4B5-0D24-48E1-9527-91DFF2D7ACF2}"/>
    <cellStyle name="Финансовый 2 2 2 2 2 2 3 2 2" xfId="2267" xr:uid="{3E2EA4B5-0D24-48E1-9527-91DFF2D7ACF2}"/>
    <cellStyle name="Финансовый 2 2 2 2 2 2 3 2 2 2" xfId="5261" xr:uid="{3E2EA4B5-0D24-48E1-9527-91DFF2D7ACF2}"/>
    <cellStyle name="Финансовый 2 2 2 2 2 2 3 2 3" xfId="4541" xr:uid="{3E2EA4B5-0D24-48E1-9527-91DFF2D7ACF2}"/>
    <cellStyle name="Финансовый 2 2 2 2 2 2 3 3" xfId="1828" xr:uid="{3E2EA4B5-0D24-48E1-9527-91DFF2D7ACF2}"/>
    <cellStyle name="Финансовый 2 2 2 2 2 2 3 3 2" xfId="4823" xr:uid="{3E2EA4B5-0D24-48E1-9527-91DFF2D7ACF2}"/>
    <cellStyle name="Финансовый 2 2 2 2 2 2 3 4" xfId="2937" xr:uid="{3E2EA4B5-0D24-48E1-9527-91DFF2D7ACF2}"/>
    <cellStyle name="Финансовый 2 2 2 2 2 2 3 4 2" xfId="5931" xr:uid="{3E2EA4B5-0D24-48E1-9527-91DFF2D7ACF2}"/>
    <cellStyle name="Финансовый 2 2 2 2 2 2 3 5" xfId="3748" xr:uid="{3E2EA4B5-0D24-48E1-9527-91DFF2D7ACF2}"/>
    <cellStyle name="Финансовый 2 2 2 2 2 2 4" xfId="918" xr:uid="{3E2EA4B5-0D24-48E1-9527-91DFF2D7ACF2}"/>
    <cellStyle name="Финансовый 2 2 2 2 2 2 4 2" xfId="1965" xr:uid="{3E2EA4B5-0D24-48E1-9527-91DFF2D7ACF2}"/>
    <cellStyle name="Финансовый 2 2 2 2 2 2 4 2 2" xfId="4959" xr:uid="{3E2EA4B5-0D24-48E1-9527-91DFF2D7ACF2}"/>
    <cellStyle name="Финансовый 2 2 2 2 2 2 4 3" xfId="2707" xr:uid="{3E2EA4B5-0D24-48E1-9527-91DFF2D7ACF2}"/>
    <cellStyle name="Финансовый 2 2 2 2 2 2 4 3 2" xfId="5701" xr:uid="{3E2EA4B5-0D24-48E1-9527-91DFF2D7ACF2}"/>
    <cellStyle name="Финансовый 2 2 2 2 2 2 4 4" xfId="3913" xr:uid="{3E2EA4B5-0D24-48E1-9527-91DFF2D7ACF2}"/>
    <cellStyle name="Финансовый 2 2 2 2 2 2 5" xfId="1316" xr:uid="{3E2EA4B5-0D24-48E1-9527-91DFF2D7ACF2}"/>
    <cellStyle name="Финансовый 2 2 2 2 2 2 5 2" xfId="2175" xr:uid="{3E2EA4B5-0D24-48E1-9527-91DFF2D7ACF2}"/>
    <cellStyle name="Финансовый 2 2 2 2 2 2 5 2 2" xfId="5169" xr:uid="{3E2EA4B5-0D24-48E1-9527-91DFF2D7ACF2}"/>
    <cellStyle name="Финансовый 2 2 2 2 2 2 5 3" xfId="4311" xr:uid="{3E2EA4B5-0D24-48E1-9527-91DFF2D7ACF2}"/>
    <cellStyle name="Финансовый 2 2 2 2 2 2 6" xfId="1736" xr:uid="{3E2EA4B5-0D24-48E1-9527-91DFF2D7ACF2}"/>
    <cellStyle name="Финансовый 2 2 2 2 2 2 6 2" xfId="4731" xr:uid="{3E2EA4B5-0D24-48E1-9527-91DFF2D7ACF2}"/>
    <cellStyle name="Финансовый 2 2 2 2 2 2 7" xfId="2602" xr:uid="{3E2EA4B5-0D24-48E1-9527-91DFF2D7ACF2}"/>
    <cellStyle name="Финансовый 2 2 2 2 2 2 7 2" xfId="5596" xr:uid="{3E2EA4B5-0D24-48E1-9527-91DFF2D7ACF2}"/>
    <cellStyle name="Финансовый 2 2 2 2 2 2 8" xfId="3518" xr:uid="{3E2EA4B5-0D24-48E1-9527-91DFF2D7ACF2}"/>
    <cellStyle name="Финансовый 2 2 2 2 2 3" xfId="547" xr:uid="{3E2EA4B5-0D24-48E1-9527-91DFF2D7ACF2}"/>
    <cellStyle name="Финансовый 2 2 2 2 2 3 2" xfId="885" xr:uid="{3E2EA4B5-0D24-48E1-9527-91DFF2D7ACF2}"/>
    <cellStyle name="Финансовый 2 2 2 2 2 3 2 2" xfId="1239" xr:uid="{3E2EA4B5-0D24-48E1-9527-91DFF2D7ACF2}"/>
    <cellStyle name="Финансовый 2 2 2 2 2 3 2 2 2" xfId="2119" xr:uid="{3E2EA4B5-0D24-48E1-9527-91DFF2D7ACF2}"/>
    <cellStyle name="Финансовый 2 2 2 2 2 3 2 2 2 2" xfId="5113" xr:uid="{3E2EA4B5-0D24-48E1-9527-91DFF2D7ACF2}"/>
    <cellStyle name="Финансовый 2 2 2 2 2 3 2 2 3" xfId="4234" xr:uid="{3E2EA4B5-0D24-48E1-9527-91DFF2D7ACF2}"/>
    <cellStyle name="Финансовый 2 2 2 2 2 3 2 3" xfId="1679" xr:uid="{3E2EA4B5-0D24-48E1-9527-91DFF2D7ACF2}"/>
    <cellStyle name="Финансовый 2 2 2 2 2 3 2 3 2" xfId="2379" xr:uid="{3E2EA4B5-0D24-48E1-9527-91DFF2D7ACF2}"/>
    <cellStyle name="Финансовый 2 2 2 2 2 3 2 3 2 2" xfId="5373" xr:uid="{3E2EA4B5-0D24-48E1-9527-91DFF2D7ACF2}"/>
    <cellStyle name="Финансовый 2 2 2 2 2 3 2 3 3" xfId="4674" xr:uid="{3E2EA4B5-0D24-48E1-9527-91DFF2D7ACF2}"/>
    <cellStyle name="Финансовый 2 2 2 2 2 3 2 4" xfId="1940" xr:uid="{3E2EA4B5-0D24-48E1-9527-91DFF2D7ACF2}"/>
    <cellStyle name="Финансовый 2 2 2 2 2 3 2 4 2" xfId="4935" xr:uid="{3E2EA4B5-0D24-48E1-9527-91DFF2D7ACF2}"/>
    <cellStyle name="Финансовый 2 2 2 2 2 3 2 5" xfId="3070" xr:uid="{3E2EA4B5-0D24-48E1-9527-91DFF2D7ACF2}"/>
    <cellStyle name="Финансовый 2 2 2 2 2 3 2 5 2" xfId="6064" xr:uid="{3E2EA4B5-0D24-48E1-9527-91DFF2D7ACF2}"/>
    <cellStyle name="Финансовый 2 2 2 2 2 3 2 6" xfId="3881" xr:uid="{3E2EA4B5-0D24-48E1-9527-91DFF2D7ACF2}"/>
    <cellStyle name="Финансовый 2 2 2 2 2 3 3" xfId="780" xr:uid="{3E2EA4B5-0D24-48E1-9527-91DFF2D7ACF2}"/>
    <cellStyle name="Финансовый 2 2 2 2 2 3 3 2" xfId="1574" xr:uid="{3E2EA4B5-0D24-48E1-9527-91DFF2D7ACF2}"/>
    <cellStyle name="Финансовый 2 2 2 2 2 3 3 2 2" xfId="2295" xr:uid="{3E2EA4B5-0D24-48E1-9527-91DFF2D7ACF2}"/>
    <cellStyle name="Финансовый 2 2 2 2 2 3 3 2 2 2" xfId="5289" xr:uid="{3E2EA4B5-0D24-48E1-9527-91DFF2D7ACF2}"/>
    <cellStyle name="Финансовый 2 2 2 2 2 3 3 2 3" xfId="4569" xr:uid="{3E2EA4B5-0D24-48E1-9527-91DFF2D7ACF2}"/>
    <cellStyle name="Финансовый 2 2 2 2 2 3 3 3" xfId="1856" xr:uid="{3E2EA4B5-0D24-48E1-9527-91DFF2D7ACF2}"/>
    <cellStyle name="Финансовый 2 2 2 2 2 3 3 3 2" xfId="4851" xr:uid="{3E2EA4B5-0D24-48E1-9527-91DFF2D7ACF2}"/>
    <cellStyle name="Финансовый 2 2 2 2 2 3 3 4" xfId="2965" xr:uid="{3E2EA4B5-0D24-48E1-9527-91DFF2D7ACF2}"/>
    <cellStyle name="Финансовый 2 2 2 2 2 3 3 4 2" xfId="5959" xr:uid="{3E2EA4B5-0D24-48E1-9527-91DFF2D7ACF2}"/>
    <cellStyle name="Финансовый 2 2 2 2 2 3 3 5" xfId="3776" xr:uid="{3E2EA4B5-0D24-48E1-9527-91DFF2D7ACF2}"/>
    <cellStyle name="Финансовый 2 2 2 2 2 3 4" xfId="990" xr:uid="{3E2EA4B5-0D24-48E1-9527-91DFF2D7ACF2}"/>
    <cellStyle name="Финансовый 2 2 2 2 2 3 4 2" xfId="2025" xr:uid="{3E2EA4B5-0D24-48E1-9527-91DFF2D7ACF2}"/>
    <cellStyle name="Финансовый 2 2 2 2 2 3 4 2 2" xfId="5019" xr:uid="{3E2EA4B5-0D24-48E1-9527-91DFF2D7ACF2}"/>
    <cellStyle name="Финансовый 2 2 2 2 2 3 4 3" xfId="2735" xr:uid="{3E2EA4B5-0D24-48E1-9527-91DFF2D7ACF2}"/>
    <cellStyle name="Финансовый 2 2 2 2 2 3 4 3 2" xfId="5729" xr:uid="{3E2EA4B5-0D24-48E1-9527-91DFF2D7ACF2}"/>
    <cellStyle name="Финансовый 2 2 2 2 2 3 4 4" xfId="3985" xr:uid="{3E2EA4B5-0D24-48E1-9527-91DFF2D7ACF2}"/>
    <cellStyle name="Финансовый 2 2 2 2 2 3 5" xfId="1344" xr:uid="{3E2EA4B5-0D24-48E1-9527-91DFF2D7ACF2}"/>
    <cellStyle name="Финансовый 2 2 2 2 2 3 5 2" xfId="2203" xr:uid="{3E2EA4B5-0D24-48E1-9527-91DFF2D7ACF2}"/>
    <cellStyle name="Финансовый 2 2 2 2 2 3 5 2 2" xfId="5197" xr:uid="{3E2EA4B5-0D24-48E1-9527-91DFF2D7ACF2}"/>
    <cellStyle name="Финансовый 2 2 2 2 2 3 5 3" xfId="4339" xr:uid="{3E2EA4B5-0D24-48E1-9527-91DFF2D7ACF2}"/>
    <cellStyle name="Финансовый 2 2 2 2 2 3 6" xfId="1764" xr:uid="{3E2EA4B5-0D24-48E1-9527-91DFF2D7ACF2}"/>
    <cellStyle name="Финансовый 2 2 2 2 2 3 6 2" xfId="4759" xr:uid="{3E2EA4B5-0D24-48E1-9527-91DFF2D7ACF2}"/>
    <cellStyle name="Финансовый 2 2 2 2 2 3 7" xfId="2630" xr:uid="{3E2EA4B5-0D24-48E1-9527-91DFF2D7ACF2}"/>
    <cellStyle name="Финансовый 2 2 2 2 2 3 7 2" xfId="5624" xr:uid="{3E2EA4B5-0D24-48E1-9527-91DFF2D7ACF2}"/>
    <cellStyle name="Финансовый 2 2 2 2 2 3 8" xfId="3546" xr:uid="{3E2EA4B5-0D24-48E1-9527-91DFF2D7ACF2}"/>
    <cellStyle name="Финансовый 2 2 2 2 2 4" xfId="829" xr:uid="{3E2EA4B5-0D24-48E1-9527-91DFF2D7ACF2}"/>
    <cellStyle name="Финансовый 2 2 2 2 2 4 2" xfId="1183" xr:uid="{3E2EA4B5-0D24-48E1-9527-91DFF2D7ACF2}"/>
    <cellStyle name="Финансовый 2 2 2 2 2 4 2 2" xfId="2063" xr:uid="{3E2EA4B5-0D24-48E1-9527-91DFF2D7ACF2}"/>
    <cellStyle name="Финансовый 2 2 2 2 2 4 2 2 2" xfId="5057" xr:uid="{3E2EA4B5-0D24-48E1-9527-91DFF2D7ACF2}"/>
    <cellStyle name="Финансовый 2 2 2 2 2 4 2 3" xfId="4178" xr:uid="{3E2EA4B5-0D24-48E1-9527-91DFF2D7ACF2}"/>
    <cellStyle name="Финансовый 2 2 2 2 2 4 3" xfId="1623" xr:uid="{3E2EA4B5-0D24-48E1-9527-91DFF2D7ACF2}"/>
    <cellStyle name="Финансовый 2 2 2 2 2 4 3 2" xfId="2323" xr:uid="{3E2EA4B5-0D24-48E1-9527-91DFF2D7ACF2}"/>
    <cellStyle name="Финансовый 2 2 2 2 2 4 3 2 2" xfId="5317" xr:uid="{3E2EA4B5-0D24-48E1-9527-91DFF2D7ACF2}"/>
    <cellStyle name="Финансовый 2 2 2 2 2 4 3 3" xfId="4618" xr:uid="{3E2EA4B5-0D24-48E1-9527-91DFF2D7ACF2}"/>
    <cellStyle name="Финансовый 2 2 2 2 2 4 4" xfId="1884" xr:uid="{3E2EA4B5-0D24-48E1-9527-91DFF2D7ACF2}"/>
    <cellStyle name="Финансовый 2 2 2 2 2 4 4 2" xfId="4879" xr:uid="{3E2EA4B5-0D24-48E1-9527-91DFF2D7ACF2}"/>
    <cellStyle name="Финансовый 2 2 2 2 2 4 5" xfId="3014" xr:uid="{3E2EA4B5-0D24-48E1-9527-91DFF2D7ACF2}"/>
    <cellStyle name="Финансовый 2 2 2 2 2 4 5 2" xfId="6008" xr:uid="{3E2EA4B5-0D24-48E1-9527-91DFF2D7ACF2}"/>
    <cellStyle name="Финансовый 2 2 2 2 2 4 6" xfId="3825" xr:uid="{3E2EA4B5-0D24-48E1-9527-91DFF2D7ACF2}"/>
    <cellStyle name="Финансовый 2 2 2 2 2 5" xfId="723" xr:uid="{3E2EA4B5-0D24-48E1-9527-91DFF2D7ACF2}"/>
    <cellStyle name="Финансовый 2 2 2 2 2 5 2" xfId="1518" xr:uid="{3E2EA4B5-0D24-48E1-9527-91DFF2D7ACF2}"/>
    <cellStyle name="Финансовый 2 2 2 2 2 5 2 2" xfId="2239" xr:uid="{3E2EA4B5-0D24-48E1-9527-91DFF2D7ACF2}"/>
    <cellStyle name="Финансовый 2 2 2 2 2 5 2 2 2" xfId="5233" xr:uid="{3E2EA4B5-0D24-48E1-9527-91DFF2D7ACF2}"/>
    <cellStyle name="Финансовый 2 2 2 2 2 5 2 3" xfId="4513" xr:uid="{3E2EA4B5-0D24-48E1-9527-91DFF2D7ACF2}"/>
    <cellStyle name="Финансовый 2 2 2 2 2 5 3" xfId="1800" xr:uid="{3E2EA4B5-0D24-48E1-9527-91DFF2D7ACF2}"/>
    <cellStyle name="Финансовый 2 2 2 2 2 5 3 2" xfId="4795" xr:uid="{3E2EA4B5-0D24-48E1-9527-91DFF2D7ACF2}"/>
    <cellStyle name="Финансовый 2 2 2 2 2 5 4" xfId="2909" xr:uid="{3E2EA4B5-0D24-48E1-9527-91DFF2D7ACF2}"/>
    <cellStyle name="Финансовый 2 2 2 2 2 5 4 2" xfId="5903" xr:uid="{3E2EA4B5-0D24-48E1-9527-91DFF2D7ACF2}"/>
    <cellStyle name="Финансовый 2 2 2 2 2 5 5" xfId="3720" xr:uid="{3E2EA4B5-0D24-48E1-9527-91DFF2D7ACF2}"/>
    <cellStyle name="Финансовый 2 2 2 2 2 6" xfId="921" xr:uid="{3E2EA4B5-0D24-48E1-9527-91DFF2D7ACF2}"/>
    <cellStyle name="Финансовый 2 2 2 2 2 6 2" xfId="1968" xr:uid="{3E2EA4B5-0D24-48E1-9527-91DFF2D7ACF2}"/>
    <cellStyle name="Финансовый 2 2 2 2 2 6 2 2" xfId="4962" xr:uid="{3E2EA4B5-0D24-48E1-9527-91DFF2D7ACF2}"/>
    <cellStyle name="Финансовый 2 2 2 2 2 6 3" xfId="2679" xr:uid="{3E2EA4B5-0D24-48E1-9527-91DFF2D7ACF2}"/>
    <cellStyle name="Финансовый 2 2 2 2 2 6 3 2" xfId="5673" xr:uid="{3E2EA4B5-0D24-48E1-9527-91DFF2D7ACF2}"/>
    <cellStyle name="Финансовый 2 2 2 2 2 6 4" xfId="3916" xr:uid="{3E2EA4B5-0D24-48E1-9527-91DFF2D7ACF2}"/>
    <cellStyle name="Финансовый 2 2 2 2 2 7" xfId="1288" xr:uid="{3E2EA4B5-0D24-48E1-9527-91DFF2D7ACF2}"/>
    <cellStyle name="Финансовый 2 2 2 2 2 7 2" xfId="2147" xr:uid="{3E2EA4B5-0D24-48E1-9527-91DFF2D7ACF2}"/>
    <cellStyle name="Финансовый 2 2 2 2 2 7 2 2" xfId="5141" xr:uid="{3E2EA4B5-0D24-48E1-9527-91DFF2D7ACF2}"/>
    <cellStyle name="Финансовый 2 2 2 2 2 7 3" xfId="4283" xr:uid="{3E2EA4B5-0D24-48E1-9527-91DFF2D7ACF2}"/>
    <cellStyle name="Финансовый 2 2 2 2 2 8" xfId="1708" xr:uid="{3E2EA4B5-0D24-48E1-9527-91DFF2D7ACF2}"/>
    <cellStyle name="Финансовый 2 2 2 2 2 8 2" xfId="4703" xr:uid="{3E2EA4B5-0D24-48E1-9527-91DFF2D7ACF2}"/>
    <cellStyle name="Финансовый 2 2 2 2 2 9" xfId="2574" xr:uid="{3E2EA4B5-0D24-48E1-9527-91DFF2D7ACF2}"/>
    <cellStyle name="Финансовый 2 2 2 2 2 9 2" xfId="5568" xr:uid="{3E2EA4B5-0D24-48E1-9527-91DFF2D7ACF2}"/>
    <cellStyle name="Финансовый 2 2 2 2 3" xfId="503" xr:uid="{3E2EA4B5-0D24-48E1-9527-91DFF2D7ACF2}"/>
    <cellStyle name="Финансовый 2 2 2 2 3 2" xfId="843" xr:uid="{3E2EA4B5-0D24-48E1-9527-91DFF2D7ACF2}"/>
    <cellStyle name="Финансовый 2 2 2 2 3 2 2" xfId="1197" xr:uid="{3E2EA4B5-0D24-48E1-9527-91DFF2D7ACF2}"/>
    <cellStyle name="Финансовый 2 2 2 2 3 2 2 2" xfId="2077" xr:uid="{3E2EA4B5-0D24-48E1-9527-91DFF2D7ACF2}"/>
    <cellStyle name="Финансовый 2 2 2 2 3 2 2 2 2" xfId="5071" xr:uid="{3E2EA4B5-0D24-48E1-9527-91DFF2D7ACF2}"/>
    <cellStyle name="Финансовый 2 2 2 2 3 2 2 3" xfId="4192" xr:uid="{3E2EA4B5-0D24-48E1-9527-91DFF2D7ACF2}"/>
    <cellStyle name="Финансовый 2 2 2 2 3 2 3" xfId="1637" xr:uid="{3E2EA4B5-0D24-48E1-9527-91DFF2D7ACF2}"/>
    <cellStyle name="Финансовый 2 2 2 2 3 2 3 2" xfId="2337" xr:uid="{3E2EA4B5-0D24-48E1-9527-91DFF2D7ACF2}"/>
    <cellStyle name="Финансовый 2 2 2 2 3 2 3 2 2" xfId="5331" xr:uid="{3E2EA4B5-0D24-48E1-9527-91DFF2D7ACF2}"/>
    <cellStyle name="Финансовый 2 2 2 2 3 2 3 3" xfId="4632" xr:uid="{3E2EA4B5-0D24-48E1-9527-91DFF2D7ACF2}"/>
    <cellStyle name="Финансовый 2 2 2 2 3 2 4" xfId="1898" xr:uid="{3E2EA4B5-0D24-48E1-9527-91DFF2D7ACF2}"/>
    <cellStyle name="Финансовый 2 2 2 2 3 2 4 2" xfId="4893" xr:uid="{3E2EA4B5-0D24-48E1-9527-91DFF2D7ACF2}"/>
    <cellStyle name="Финансовый 2 2 2 2 3 2 5" xfId="3028" xr:uid="{3E2EA4B5-0D24-48E1-9527-91DFF2D7ACF2}"/>
    <cellStyle name="Финансовый 2 2 2 2 3 2 5 2" xfId="6022" xr:uid="{3E2EA4B5-0D24-48E1-9527-91DFF2D7ACF2}"/>
    <cellStyle name="Финансовый 2 2 2 2 3 2 6" xfId="3839" xr:uid="{3E2EA4B5-0D24-48E1-9527-91DFF2D7ACF2}"/>
    <cellStyle name="Финансовый 2 2 2 2 3 3" xfId="737" xr:uid="{3E2EA4B5-0D24-48E1-9527-91DFF2D7ACF2}"/>
    <cellStyle name="Финансовый 2 2 2 2 3 3 2" xfId="1532" xr:uid="{3E2EA4B5-0D24-48E1-9527-91DFF2D7ACF2}"/>
    <cellStyle name="Финансовый 2 2 2 2 3 3 2 2" xfId="2253" xr:uid="{3E2EA4B5-0D24-48E1-9527-91DFF2D7ACF2}"/>
    <cellStyle name="Финансовый 2 2 2 2 3 3 2 2 2" xfId="5247" xr:uid="{3E2EA4B5-0D24-48E1-9527-91DFF2D7ACF2}"/>
    <cellStyle name="Финансовый 2 2 2 2 3 3 2 3" xfId="4527" xr:uid="{3E2EA4B5-0D24-48E1-9527-91DFF2D7ACF2}"/>
    <cellStyle name="Финансовый 2 2 2 2 3 3 3" xfId="1814" xr:uid="{3E2EA4B5-0D24-48E1-9527-91DFF2D7ACF2}"/>
    <cellStyle name="Финансовый 2 2 2 2 3 3 3 2" xfId="4809" xr:uid="{3E2EA4B5-0D24-48E1-9527-91DFF2D7ACF2}"/>
    <cellStyle name="Финансовый 2 2 2 2 3 3 4" xfId="2923" xr:uid="{3E2EA4B5-0D24-48E1-9527-91DFF2D7ACF2}"/>
    <cellStyle name="Финансовый 2 2 2 2 3 3 4 2" xfId="5917" xr:uid="{3E2EA4B5-0D24-48E1-9527-91DFF2D7ACF2}"/>
    <cellStyle name="Финансовый 2 2 2 2 3 3 5" xfId="3734" xr:uid="{3E2EA4B5-0D24-48E1-9527-91DFF2D7ACF2}"/>
    <cellStyle name="Финансовый 2 2 2 2 3 4" xfId="926" xr:uid="{3E2EA4B5-0D24-48E1-9527-91DFF2D7ACF2}"/>
    <cellStyle name="Финансовый 2 2 2 2 3 4 2" xfId="1973" xr:uid="{3E2EA4B5-0D24-48E1-9527-91DFF2D7ACF2}"/>
    <cellStyle name="Финансовый 2 2 2 2 3 4 2 2" xfId="4967" xr:uid="{3E2EA4B5-0D24-48E1-9527-91DFF2D7ACF2}"/>
    <cellStyle name="Финансовый 2 2 2 2 3 4 3" xfId="2693" xr:uid="{3E2EA4B5-0D24-48E1-9527-91DFF2D7ACF2}"/>
    <cellStyle name="Финансовый 2 2 2 2 3 4 3 2" xfId="5687" xr:uid="{3E2EA4B5-0D24-48E1-9527-91DFF2D7ACF2}"/>
    <cellStyle name="Финансовый 2 2 2 2 3 4 4" xfId="3921" xr:uid="{3E2EA4B5-0D24-48E1-9527-91DFF2D7ACF2}"/>
    <cellStyle name="Финансовый 2 2 2 2 3 5" xfId="1302" xr:uid="{3E2EA4B5-0D24-48E1-9527-91DFF2D7ACF2}"/>
    <cellStyle name="Финансовый 2 2 2 2 3 5 2" xfId="2161" xr:uid="{3E2EA4B5-0D24-48E1-9527-91DFF2D7ACF2}"/>
    <cellStyle name="Финансовый 2 2 2 2 3 5 2 2" xfId="5155" xr:uid="{3E2EA4B5-0D24-48E1-9527-91DFF2D7ACF2}"/>
    <cellStyle name="Финансовый 2 2 2 2 3 5 3" xfId="4297" xr:uid="{3E2EA4B5-0D24-48E1-9527-91DFF2D7ACF2}"/>
    <cellStyle name="Финансовый 2 2 2 2 3 6" xfId="1722" xr:uid="{3E2EA4B5-0D24-48E1-9527-91DFF2D7ACF2}"/>
    <cellStyle name="Финансовый 2 2 2 2 3 6 2" xfId="4717" xr:uid="{3E2EA4B5-0D24-48E1-9527-91DFF2D7ACF2}"/>
    <cellStyle name="Финансовый 2 2 2 2 3 7" xfId="2588" xr:uid="{3E2EA4B5-0D24-48E1-9527-91DFF2D7ACF2}"/>
    <cellStyle name="Финансовый 2 2 2 2 3 7 2" xfId="5582" xr:uid="{3E2EA4B5-0D24-48E1-9527-91DFF2D7ACF2}"/>
    <cellStyle name="Финансовый 2 2 2 2 3 8" xfId="3504" xr:uid="{3E2EA4B5-0D24-48E1-9527-91DFF2D7ACF2}"/>
    <cellStyle name="Финансовый 2 2 2 2 4" xfId="533" xr:uid="{3E2EA4B5-0D24-48E1-9527-91DFF2D7ACF2}"/>
    <cellStyle name="Финансовый 2 2 2 2 4 2" xfId="871" xr:uid="{3E2EA4B5-0D24-48E1-9527-91DFF2D7ACF2}"/>
    <cellStyle name="Финансовый 2 2 2 2 4 2 2" xfId="1225" xr:uid="{3E2EA4B5-0D24-48E1-9527-91DFF2D7ACF2}"/>
    <cellStyle name="Финансовый 2 2 2 2 4 2 2 2" xfId="2105" xr:uid="{3E2EA4B5-0D24-48E1-9527-91DFF2D7ACF2}"/>
    <cellStyle name="Финансовый 2 2 2 2 4 2 2 2 2" xfId="5099" xr:uid="{3E2EA4B5-0D24-48E1-9527-91DFF2D7ACF2}"/>
    <cellStyle name="Финансовый 2 2 2 2 4 2 2 3" xfId="4220" xr:uid="{3E2EA4B5-0D24-48E1-9527-91DFF2D7ACF2}"/>
    <cellStyle name="Финансовый 2 2 2 2 4 2 3" xfId="1665" xr:uid="{3E2EA4B5-0D24-48E1-9527-91DFF2D7ACF2}"/>
    <cellStyle name="Финансовый 2 2 2 2 4 2 3 2" xfId="2365" xr:uid="{3E2EA4B5-0D24-48E1-9527-91DFF2D7ACF2}"/>
    <cellStyle name="Финансовый 2 2 2 2 4 2 3 2 2" xfId="5359" xr:uid="{3E2EA4B5-0D24-48E1-9527-91DFF2D7ACF2}"/>
    <cellStyle name="Финансовый 2 2 2 2 4 2 3 3" xfId="4660" xr:uid="{3E2EA4B5-0D24-48E1-9527-91DFF2D7ACF2}"/>
    <cellStyle name="Финансовый 2 2 2 2 4 2 4" xfId="1926" xr:uid="{3E2EA4B5-0D24-48E1-9527-91DFF2D7ACF2}"/>
    <cellStyle name="Финансовый 2 2 2 2 4 2 4 2" xfId="4921" xr:uid="{3E2EA4B5-0D24-48E1-9527-91DFF2D7ACF2}"/>
    <cellStyle name="Финансовый 2 2 2 2 4 2 5" xfId="3056" xr:uid="{3E2EA4B5-0D24-48E1-9527-91DFF2D7ACF2}"/>
    <cellStyle name="Финансовый 2 2 2 2 4 2 5 2" xfId="6050" xr:uid="{3E2EA4B5-0D24-48E1-9527-91DFF2D7ACF2}"/>
    <cellStyle name="Финансовый 2 2 2 2 4 2 6" xfId="3867" xr:uid="{3E2EA4B5-0D24-48E1-9527-91DFF2D7ACF2}"/>
    <cellStyle name="Финансовый 2 2 2 2 4 3" xfId="766" xr:uid="{3E2EA4B5-0D24-48E1-9527-91DFF2D7ACF2}"/>
    <cellStyle name="Финансовый 2 2 2 2 4 3 2" xfId="1560" xr:uid="{3E2EA4B5-0D24-48E1-9527-91DFF2D7ACF2}"/>
    <cellStyle name="Финансовый 2 2 2 2 4 3 2 2" xfId="2281" xr:uid="{3E2EA4B5-0D24-48E1-9527-91DFF2D7ACF2}"/>
    <cellStyle name="Финансовый 2 2 2 2 4 3 2 2 2" xfId="5275" xr:uid="{3E2EA4B5-0D24-48E1-9527-91DFF2D7ACF2}"/>
    <cellStyle name="Финансовый 2 2 2 2 4 3 2 3" xfId="4555" xr:uid="{3E2EA4B5-0D24-48E1-9527-91DFF2D7ACF2}"/>
    <cellStyle name="Финансовый 2 2 2 2 4 3 3" xfId="1842" xr:uid="{3E2EA4B5-0D24-48E1-9527-91DFF2D7ACF2}"/>
    <cellStyle name="Финансовый 2 2 2 2 4 3 3 2" xfId="4837" xr:uid="{3E2EA4B5-0D24-48E1-9527-91DFF2D7ACF2}"/>
    <cellStyle name="Финансовый 2 2 2 2 4 3 4" xfId="2951" xr:uid="{3E2EA4B5-0D24-48E1-9527-91DFF2D7ACF2}"/>
    <cellStyle name="Финансовый 2 2 2 2 4 3 4 2" xfId="5945" xr:uid="{3E2EA4B5-0D24-48E1-9527-91DFF2D7ACF2}"/>
    <cellStyle name="Финансовый 2 2 2 2 4 3 5" xfId="3762" xr:uid="{3E2EA4B5-0D24-48E1-9527-91DFF2D7ACF2}"/>
    <cellStyle name="Финансовый 2 2 2 2 4 4" xfId="976" xr:uid="{3E2EA4B5-0D24-48E1-9527-91DFF2D7ACF2}"/>
    <cellStyle name="Финансовый 2 2 2 2 4 4 2" xfId="2011" xr:uid="{3E2EA4B5-0D24-48E1-9527-91DFF2D7ACF2}"/>
    <cellStyle name="Финансовый 2 2 2 2 4 4 2 2" xfId="5005" xr:uid="{3E2EA4B5-0D24-48E1-9527-91DFF2D7ACF2}"/>
    <cellStyle name="Финансовый 2 2 2 2 4 4 3" xfId="2721" xr:uid="{3E2EA4B5-0D24-48E1-9527-91DFF2D7ACF2}"/>
    <cellStyle name="Финансовый 2 2 2 2 4 4 3 2" xfId="5715" xr:uid="{3E2EA4B5-0D24-48E1-9527-91DFF2D7ACF2}"/>
    <cellStyle name="Финансовый 2 2 2 2 4 4 4" xfId="3971" xr:uid="{3E2EA4B5-0D24-48E1-9527-91DFF2D7ACF2}"/>
    <cellStyle name="Финансовый 2 2 2 2 4 5" xfId="1330" xr:uid="{3E2EA4B5-0D24-48E1-9527-91DFF2D7ACF2}"/>
    <cellStyle name="Финансовый 2 2 2 2 4 5 2" xfId="2189" xr:uid="{3E2EA4B5-0D24-48E1-9527-91DFF2D7ACF2}"/>
    <cellStyle name="Финансовый 2 2 2 2 4 5 2 2" xfId="5183" xr:uid="{3E2EA4B5-0D24-48E1-9527-91DFF2D7ACF2}"/>
    <cellStyle name="Финансовый 2 2 2 2 4 5 3" xfId="4325" xr:uid="{3E2EA4B5-0D24-48E1-9527-91DFF2D7ACF2}"/>
    <cellStyle name="Финансовый 2 2 2 2 4 6" xfId="1750" xr:uid="{3E2EA4B5-0D24-48E1-9527-91DFF2D7ACF2}"/>
    <cellStyle name="Финансовый 2 2 2 2 4 6 2" xfId="4745" xr:uid="{3E2EA4B5-0D24-48E1-9527-91DFF2D7ACF2}"/>
    <cellStyle name="Финансовый 2 2 2 2 4 7" xfId="2616" xr:uid="{3E2EA4B5-0D24-48E1-9527-91DFF2D7ACF2}"/>
    <cellStyle name="Финансовый 2 2 2 2 4 7 2" xfId="5610" xr:uid="{3E2EA4B5-0D24-48E1-9527-91DFF2D7ACF2}"/>
    <cellStyle name="Финансовый 2 2 2 2 4 8" xfId="3532" xr:uid="{3E2EA4B5-0D24-48E1-9527-91DFF2D7ACF2}"/>
    <cellStyle name="Финансовый 2 2 2 2 5" xfId="815" xr:uid="{3E2EA4B5-0D24-48E1-9527-91DFF2D7ACF2}"/>
    <cellStyle name="Финансовый 2 2 2 2 5 2" xfId="1169" xr:uid="{3E2EA4B5-0D24-48E1-9527-91DFF2D7ACF2}"/>
    <cellStyle name="Финансовый 2 2 2 2 5 2 2" xfId="2049" xr:uid="{3E2EA4B5-0D24-48E1-9527-91DFF2D7ACF2}"/>
    <cellStyle name="Финансовый 2 2 2 2 5 2 2 2" xfId="5043" xr:uid="{3E2EA4B5-0D24-48E1-9527-91DFF2D7ACF2}"/>
    <cellStyle name="Финансовый 2 2 2 2 5 2 3" xfId="4164" xr:uid="{3E2EA4B5-0D24-48E1-9527-91DFF2D7ACF2}"/>
    <cellStyle name="Финансовый 2 2 2 2 5 3" xfId="1609" xr:uid="{3E2EA4B5-0D24-48E1-9527-91DFF2D7ACF2}"/>
    <cellStyle name="Финансовый 2 2 2 2 5 3 2" xfId="2309" xr:uid="{3E2EA4B5-0D24-48E1-9527-91DFF2D7ACF2}"/>
    <cellStyle name="Финансовый 2 2 2 2 5 3 2 2" xfId="5303" xr:uid="{3E2EA4B5-0D24-48E1-9527-91DFF2D7ACF2}"/>
    <cellStyle name="Финансовый 2 2 2 2 5 3 3" xfId="4604" xr:uid="{3E2EA4B5-0D24-48E1-9527-91DFF2D7ACF2}"/>
    <cellStyle name="Финансовый 2 2 2 2 5 4" xfId="1870" xr:uid="{3E2EA4B5-0D24-48E1-9527-91DFF2D7ACF2}"/>
    <cellStyle name="Финансовый 2 2 2 2 5 4 2" xfId="4865" xr:uid="{3E2EA4B5-0D24-48E1-9527-91DFF2D7ACF2}"/>
    <cellStyle name="Финансовый 2 2 2 2 5 5" xfId="3000" xr:uid="{3E2EA4B5-0D24-48E1-9527-91DFF2D7ACF2}"/>
    <cellStyle name="Финансовый 2 2 2 2 5 5 2" xfId="5994" xr:uid="{3E2EA4B5-0D24-48E1-9527-91DFF2D7ACF2}"/>
    <cellStyle name="Финансовый 2 2 2 2 5 6" xfId="3811" xr:uid="{3E2EA4B5-0D24-48E1-9527-91DFF2D7ACF2}"/>
    <cellStyle name="Финансовый 2 2 2 2 6" xfId="709" xr:uid="{3E2EA4B5-0D24-48E1-9527-91DFF2D7ACF2}"/>
    <cellStyle name="Финансовый 2 2 2 2 6 2" xfId="1504" xr:uid="{3E2EA4B5-0D24-48E1-9527-91DFF2D7ACF2}"/>
    <cellStyle name="Финансовый 2 2 2 2 6 2 2" xfId="2225" xr:uid="{3E2EA4B5-0D24-48E1-9527-91DFF2D7ACF2}"/>
    <cellStyle name="Финансовый 2 2 2 2 6 2 2 2" xfId="5219" xr:uid="{3E2EA4B5-0D24-48E1-9527-91DFF2D7ACF2}"/>
    <cellStyle name="Финансовый 2 2 2 2 6 2 3" xfId="4499" xr:uid="{3E2EA4B5-0D24-48E1-9527-91DFF2D7ACF2}"/>
    <cellStyle name="Финансовый 2 2 2 2 6 3" xfId="1786" xr:uid="{3E2EA4B5-0D24-48E1-9527-91DFF2D7ACF2}"/>
    <cellStyle name="Финансовый 2 2 2 2 6 3 2" xfId="4781" xr:uid="{3E2EA4B5-0D24-48E1-9527-91DFF2D7ACF2}"/>
    <cellStyle name="Финансовый 2 2 2 2 6 4" xfId="2895" xr:uid="{3E2EA4B5-0D24-48E1-9527-91DFF2D7ACF2}"/>
    <cellStyle name="Финансовый 2 2 2 2 6 4 2" xfId="5889" xr:uid="{3E2EA4B5-0D24-48E1-9527-91DFF2D7ACF2}"/>
    <cellStyle name="Финансовый 2 2 2 2 6 5" xfId="3706" xr:uid="{3E2EA4B5-0D24-48E1-9527-91DFF2D7ACF2}"/>
    <cellStyle name="Финансовый 2 2 2 2 7" xfId="904" xr:uid="{3E2EA4B5-0D24-48E1-9527-91DFF2D7ACF2}"/>
    <cellStyle name="Финансовый 2 2 2 2 7 2" xfId="1954" xr:uid="{3E2EA4B5-0D24-48E1-9527-91DFF2D7ACF2}"/>
    <cellStyle name="Финансовый 2 2 2 2 7 2 2" xfId="4949" xr:uid="{3E2EA4B5-0D24-48E1-9527-91DFF2D7ACF2}"/>
    <cellStyle name="Финансовый 2 2 2 2 7 3" xfId="2665" xr:uid="{3E2EA4B5-0D24-48E1-9527-91DFF2D7ACF2}"/>
    <cellStyle name="Финансовый 2 2 2 2 7 3 2" xfId="5659" xr:uid="{3E2EA4B5-0D24-48E1-9527-91DFF2D7ACF2}"/>
    <cellStyle name="Финансовый 2 2 2 2 7 4" xfId="3900" xr:uid="{3E2EA4B5-0D24-48E1-9527-91DFF2D7ACF2}"/>
    <cellStyle name="Финансовый 2 2 2 2 8" xfId="1274" xr:uid="{3E2EA4B5-0D24-48E1-9527-91DFF2D7ACF2}"/>
    <cellStyle name="Финансовый 2 2 2 2 8 2" xfId="2133" xr:uid="{3E2EA4B5-0D24-48E1-9527-91DFF2D7ACF2}"/>
    <cellStyle name="Финансовый 2 2 2 2 8 2 2" xfId="5127" xr:uid="{3E2EA4B5-0D24-48E1-9527-91DFF2D7ACF2}"/>
    <cellStyle name="Финансовый 2 2 2 2 8 3" xfId="4269" xr:uid="{3E2EA4B5-0D24-48E1-9527-91DFF2D7ACF2}"/>
    <cellStyle name="Финансовый 2 2 2 2 9" xfId="1694" xr:uid="{3E2EA4B5-0D24-48E1-9527-91DFF2D7ACF2}"/>
    <cellStyle name="Финансовый 2 2 2 2 9 2" xfId="4689" xr:uid="{3E2EA4B5-0D24-48E1-9527-91DFF2D7ACF2}"/>
    <cellStyle name="Финансовый 2 2 2 3" xfId="482" xr:uid="{3E2EA4B5-0D24-48E1-9527-91DFF2D7ACF2}"/>
    <cellStyle name="Финансовый 2 2 2 3 10" xfId="3483" xr:uid="{3E2EA4B5-0D24-48E1-9527-91DFF2D7ACF2}"/>
    <cellStyle name="Финансовый 2 2 2 3 2" xfId="512" xr:uid="{3E2EA4B5-0D24-48E1-9527-91DFF2D7ACF2}"/>
    <cellStyle name="Финансовый 2 2 2 3 2 2" xfId="850" xr:uid="{3E2EA4B5-0D24-48E1-9527-91DFF2D7ACF2}"/>
    <cellStyle name="Финансовый 2 2 2 3 2 2 2" xfId="1204" xr:uid="{3E2EA4B5-0D24-48E1-9527-91DFF2D7ACF2}"/>
    <cellStyle name="Финансовый 2 2 2 3 2 2 2 2" xfId="2084" xr:uid="{3E2EA4B5-0D24-48E1-9527-91DFF2D7ACF2}"/>
    <cellStyle name="Финансовый 2 2 2 3 2 2 2 2 2" xfId="5078" xr:uid="{3E2EA4B5-0D24-48E1-9527-91DFF2D7ACF2}"/>
    <cellStyle name="Финансовый 2 2 2 3 2 2 2 3" xfId="4199" xr:uid="{3E2EA4B5-0D24-48E1-9527-91DFF2D7ACF2}"/>
    <cellStyle name="Финансовый 2 2 2 3 2 2 3" xfId="1644" xr:uid="{3E2EA4B5-0D24-48E1-9527-91DFF2D7ACF2}"/>
    <cellStyle name="Финансовый 2 2 2 3 2 2 3 2" xfId="2344" xr:uid="{3E2EA4B5-0D24-48E1-9527-91DFF2D7ACF2}"/>
    <cellStyle name="Финансовый 2 2 2 3 2 2 3 2 2" xfId="5338" xr:uid="{3E2EA4B5-0D24-48E1-9527-91DFF2D7ACF2}"/>
    <cellStyle name="Финансовый 2 2 2 3 2 2 3 3" xfId="4639" xr:uid="{3E2EA4B5-0D24-48E1-9527-91DFF2D7ACF2}"/>
    <cellStyle name="Финансовый 2 2 2 3 2 2 4" xfId="1905" xr:uid="{3E2EA4B5-0D24-48E1-9527-91DFF2D7ACF2}"/>
    <cellStyle name="Финансовый 2 2 2 3 2 2 4 2" xfId="4900" xr:uid="{3E2EA4B5-0D24-48E1-9527-91DFF2D7ACF2}"/>
    <cellStyle name="Финансовый 2 2 2 3 2 2 5" xfId="3035" xr:uid="{3E2EA4B5-0D24-48E1-9527-91DFF2D7ACF2}"/>
    <cellStyle name="Финансовый 2 2 2 3 2 2 5 2" xfId="6029" xr:uid="{3E2EA4B5-0D24-48E1-9527-91DFF2D7ACF2}"/>
    <cellStyle name="Финансовый 2 2 2 3 2 2 6" xfId="3846" xr:uid="{3E2EA4B5-0D24-48E1-9527-91DFF2D7ACF2}"/>
    <cellStyle name="Финансовый 2 2 2 3 2 3" xfId="745" xr:uid="{3E2EA4B5-0D24-48E1-9527-91DFF2D7ACF2}"/>
    <cellStyle name="Финансовый 2 2 2 3 2 3 2" xfId="1539" xr:uid="{3E2EA4B5-0D24-48E1-9527-91DFF2D7ACF2}"/>
    <cellStyle name="Финансовый 2 2 2 3 2 3 2 2" xfId="2260" xr:uid="{3E2EA4B5-0D24-48E1-9527-91DFF2D7ACF2}"/>
    <cellStyle name="Финансовый 2 2 2 3 2 3 2 2 2" xfId="5254" xr:uid="{3E2EA4B5-0D24-48E1-9527-91DFF2D7ACF2}"/>
    <cellStyle name="Финансовый 2 2 2 3 2 3 2 3" xfId="4534" xr:uid="{3E2EA4B5-0D24-48E1-9527-91DFF2D7ACF2}"/>
    <cellStyle name="Финансовый 2 2 2 3 2 3 3" xfId="1821" xr:uid="{3E2EA4B5-0D24-48E1-9527-91DFF2D7ACF2}"/>
    <cellStyle name="Финансовый 2 2 2 3 2 3 3 2" xfId="4816" xr:uid="{3E2EA4B5-0D24-48E1-9527-91DFF2D7ACF2}"/>
    <cellStyle name="Финансовый 2 2 2 3 2 3 4" xfId="2930" xr:uid="{3E2EA4B5-0D24-48E1-9527-91DFF2D7ACF2}"/>
    <cellStyle name="Финансовый 2 2 2 3 2 3 4 2" xfId="5924" xr:uid="{3E2EA4B5-0D24-48E1-9527-91DFF2D7ACF2}"/>
    <cellStyle name="Финансовый 2 2 2 3 2 3 5" xfId="3741" xr:uid="{3E2EA4B5-0D24-48E1-9527-91DFF2D7ACF2}"/>
    <cellStyle name="Финансовый 2 2 2 3 2 4" xfId="930" xr:uid="{3E2EA4B5-0D24-48E1-9527-91DFF2D7ACF2}"/>
    <cellStyle name="Финансовый 2 2 2 3 2 4 2" xfId="1976" xr:uid="{3E2EA4B5-0D24-48E1-9527-91DFF2D7ACF2}"/>
    <cellStyle name="Финансовый 2 2 2 3 2 4 2 2" xfId="4970" xr:uid="{3E2EA4B5-0D24-48E1-9527-91DFF2D7ACF2}"/>
    <cellStyle name="Финансовый 2 2 2 3 2 4 3" xfId="2700" xr:uid="{3E2EA4B5-0D24-48E1-9527-91DFF2D7ACF2}"/>
    <cellStyle name="Финансовый 2 2 2 3 2 4 3 2" xfId="5694" xr:uid="{3E2EA4B5-0D24-48E1-9527-91DFF2D7ACF2}"/>
    <cellStyle name="Финансовый 2 2 2 3 2 4 4" xfId="3925" xr:uid="{3E2EA4B5-0D24-48E1-9527-91DFF2D7ACF2}"/>
    <cellStyle name="Финансовый 2 2 2 3 2 5" xfId="1309" xr:uid="{3E2EA4B5-0D24-48E1-9527-91DFF2D7ACF2}"/>
    <cellStyle name="Финансовый 2 2 2 3 2 5 2" xfId="2168" xr:uid="{3E2EA4B5-0D24-48E1-9527-91DFF2D7ACF2}"/>
    <cellStyle name="Финансовый 2 2 2 3 2 5 2 2" xfId="5162" xr:uid="{3E2EA4B5-0D24-48E1-9527-91DFF2D7ACF2}"/>
    <cellStyle name="Финансовый 2 2 2 3 2 5 3" xfId="4304" xr:uid="{3E2EA4B5-0D24-48E1-9527-91DFF2D7ACF2}"/>
    <cellStyle name="Финансовый 2 2 2 3 2 6" xfId="1729" xr:uid="{3E2EA4B5-0D24-48E1-9527-91DFF2D7ACF2}"/>
    <cellStyle name="Финансовый 2 2 2 3 2 6 2" xfId="4724" xr:uid="{3E2EA4B5-0D24-48E1-9527-91DFF2D7ACF2}"/>
    <cellStyle name="Финансовый 2 2 2 3 2 7" xfId="2595" xr:uid="{3E2EA4B5-0D24-48E1-9527-91DFF2D7ACF2}"/>
    <cellStyle name="Финансовый 2 2 2 3 2 7 2" xfId="5589" xr:uid="{3E2EA4B5-0D24-48E1-9527-91DFF2D7ACF2}"/>
    <cellStyle name="Финансовый 2 2 2 3 2 8" xfId="3511" xr:uid="{3E2EA4B5-0D24-48E1-9527-91DFF2D7ACF2}"/>
    <cellStyle name="Финансовый 2 2 2 3 3" xfId="540" xr:uid="{3E2EA4B5-0D24-48E1-9527-91DFF2D7ACF2}"/>
    <cellStyle name="Финансовый 2 2 2 3 3 2" xfId="878" xr:uid="{3E2EA4B5-0D24-48E1-9527-91DFF2D7ACF2}"/>
    <cellStyle name="Финансовый 2 2 2 3 3 2 2" xfId="1232" xr:uid="{3E2EA4B5-0D24-48E1-9527-91DFF2D7ACF2}"/>
    <cellStyle name="Финансовый 2 2 2 3 3 2 2 2" xfId="2112" xr:uid="{3E2EA4B5-0D24-48E1-9527-91DFF2D7ACF2}"/>
    <cellStyle name="Финансовый 2 2 2 3 3 2 2 2 2" xfId="5106" xr:uid="{3E2EA4B5-0D24-48E1-9527-91DFF2D7ACF2}"/>
    <cellStyle name="Финансовый 2 2 2 3 3 2 2 3" xfId="4227" xr:uid="{3E2EA4B5-0D24-48E1-9527-91DFF2D7ACF2}"/>
    <cellStyle name="Финансовый 2 2 2 3 3 2 3" xfId="1672" xr:uid="{3E2EA4B5-0D24-48E1-9527-91DFF2D7ACF2}"/>
    <cellStyle name="Финансовый 2 2 2 3 3 2 3 2" xfId="2372" xr:uid="{3E2EA4B5-0D24-48E1-9527-91DFF2D7ACF2}"/>
    <cellStyle name="Финансовый 2 2 2 3 3 2 3 2 2" xfId="5366" xr:uid="{3E2EA4B5-0D24-48E1-9527-91DFF2D7ACF2}"/>
    <cellStyle name="Финансовый 2 2 2 3 3 2 3 3" xfId="4667" xr:uid="{3E2EA4B5-0D24-48E1-9527-91DFF2D7ACF2}"/>
    <cellStyle name="Финансовый 2 2 2 3 3 2 4" xfId="1933" xr:uid="{3E2EA4B5-0D24-48E1-9527-91DFF2D7ACF2}"/>
    <cellStyle name="Финансовый 2 2 2 3 3 2 4 2" xfId="4928" xr:uid="{3E2EA4B5-0D24-48E1-9527-91DFF2D7ACF2}"/>
    <cellStyle name="Финансовый 2 2 2 3 3 2 5" xfId="3063" xr:uid="{3E2EA4B5-0D24-48E1-9527-91DFF2D7ACF2}"/>
    <cellStyle name="Финансовый 2 2 2 3 3 2 5 2" xfId="6057" xr:uid="{3E2EA4B5-0D24-48E1-9527-91DFF2D7ACF2}"/>
    <cellStyle name="Финансовый 2 2 2 3 3 2 6" xfId="3874" xr:uid="{3E2EA4B5-0D24-48E1-9527-91DFF2D7ACF2}"/>
    <cellStyle name="Финансовый 2 2 2 3 3 3" xfId="773" xr:uid="{3E2EA4B5-0D24-48E1-9527-91DFF2D7ACF2}"/>
    <cellStyle name="Финансовый 2 2 2 3 3 3 2" xfId="1567" xr:uid="{3E2EA4B5-0D24-48E1-9527-91DFF2D7ACF2}"/>
    <cellStyle name="Финансовый 2 2 2 3 3 3 2 2" xfId="2288" xr:uid="{3E2EA4B5-0D24-48E1-9527-91DFF2D7ACF2}"/>
    <cellStyle name="Финансовый 2 2 2 3 3 3 2 2 2" xfId="5282" xr:uid="{3E2EA4B5-0D24-48E1-9527-91DFF2D7ACF2}"/>
    <cellStyle name="Финансовый 2 2 2 3 3 3 2 3" xfId="4562" xr:uid="{3E2EA4B5-0D24-48E1-9527-91DFF2D7ACF2}"/>
    <cellStyle name="Финансовый 2 2 2 3 3 3 3" xfId="1849" xr:uid="{3E2EA4B5-0D24-48E1-9527-91DFF2D7ACF2}"/>
    <cellStyle name="Финансовый 2 2 2 3 3 3 3 2" xfId="4844" xr:uid="{3E2EA4B5-0D24-48E1-9527-91DFF2D7ACF2}"/>
    <cellStyle name="Финансовый 2 2 2 3 3 3 4" xfId="2958" xr:uid="{3E2EA4B5-0D24-48E1-9527-91DFF2D7ACF2}"/>
    <cellStyle name="Финансовый 2 2 2 3 3 3 4 2" xfId="5952" xr:uid="{3E2EA4B5-0D24-48E1-9527-91DFF2D7ACF2}"/>
    <cellStyle name="Финансовый 2 2 2 3 3 3 5" xfId="3769" xr:uid="{3E2EA4B5-0D24-48E1-9527-91DFF2D7ACF2}"/>
    <cellStyle name="Финансовый 2 2 2 3 3 4" xfId="983" xr:uid="{3E2EA4B5-0D24-48E1-9527-91DFF2D7ACF2}"/>
    <cellStyle name="Финансовый 2 2 2 3 3 4 2" xfId="2018" xr:uid="{3E2EA4B5-0D24-48E1-9527-91DFF2D7ACF2}"/>
    <cellStyle name="Финансовый 2 2 2 3 3 4 2 2" xfId="5012" xr:uid="{3E2EA4B5-0D24-48E1-9527-91DFF2D7ACF2}"/>
    <cellStyle name="Финансовый 2 2 2 3 3 4 3" xfId="2728" xr:uid="{3E2EA4B5-0D24-48E1-9527-91DFF2D7ACF2}"/>
    <cellStyle name="Финансовый 2 2 2 3 3 4 3 2" xfId="5722" xr:uid="{3E2EA4B5-0D24-48E1-9527-91DFF2D7ACF2}"/>
    <cellStyle name="Финансовый 2 2 2 3 3 4 4" xfId="3978" xr:uid="{3E2EA4B5-0D24-48E1-9527-91DFF2D7ACF2}"/>
    <cellStyle name="Финансовый 2 2 2 3 3 5" xfId="1337" xr:uid="{3E2EA4B5-0D24-48E1-9527-91DFF2D7ACF2}"/>
    <cellStyle name="Финансовый 2 2 2 3 3 5 2" xfId="2196" xr:uid="{3E2EA4B5-0D24-48E1-9527-91DFF2D7ACF2}"/>
    <cellStyle name="Финансовый 2 2 2 3 3 5 2 2" xfId="5190" xr:uid="{3E2EA4B5-0D24-48E1-9527-91DFF2D7ACF2}"/>
    <cellStyle name="Финансовый 2 2 2 3 3 5 3" xfId="4332" xr:uid="{3E2EA4B5-0D24-48E1-9527-91DFF2D7ACF2}"/>
    <cellStyle name="Финансовый 2 2 2 3 3 6" xfId="1757" xr:uid="{3E2EA4B5-0D24-48E1-9527-91DFF2D7ACF2}"/>
    <cellStyle name="Финансовый 2 2 2 3 3 6 2" xfId="4752" xr:uid="{3E2EA4B5-0D24-48E1-9527-91DFF2D7ACF2}"/>
    <cellStyle name="Финансовый 2 2 2 3 3 7" xfId="2623" xr:uid="{3E2EA4B5-0D24-48E1-9527-91DFF2D7ACF2}"/>
    <cellStyle name="Финансовый 2 2 2 3 3 7 2" xfId="5617" xr:uid="{3E2EA4B5-0D24-48E1-9527-91DFF2D7ACF2}"/>
    <cellStyle name="Финансовый 2 2 2 3 3 8" xfId="3539" xr:uid="{3E2EA4B5-0D24-48E1-9527-91DFF2D7ACF2}"/>
    <cellStyle name="Финансовый 2 2 2 3 4" xfId="822" xr:uid="{3E2EA4B5-0D24-48E1-9527-91DFF2D7ACF2}"/>
    <cellStyle name="Финансовый 2 2 2 3 4 2" xfId="1176" xr:uid="{3E2EA4B5-0D24-48E1-9527-91DFF2D7ACF2}"/>
    <cellStyle name="Финансовый 2 2 2 3 4 2 2" xfId="2056" xr:uid="{3E2EA4B5-0D24-48E1-9527-91DFF2D7ACF2}"/>
    <cellStyle name="Финансовый 2 2 2 3 4 2 2 2" xfId="5050" xr:uid="{3E2EA4B5-0D24-48E1-9527-91DFF2D7ACF2}"/>
    <cellStyle name="Финансовый 2 2 2 3 4 2 3" xfId="4171" xr:uid="{3E2EA4B5-0D24-48E1-9527-91DFF2D7ACF2}"/>
    <cellStyle name="Финансовый 2 2 2 3 4 3" xfId="1616" xr:uid="{3E2EA4B5-0D24-48E1-9527-91DFF2D7ACF2}"/>
    <cellStyle name="Финансовый 2 2 2 3 4 3 2" xfId="2316" xr:uid="{3E2EA4B5-0D24-48E1-9527-91DFF2D7ACF2}"/>
    <cellStyle name="Финансовый 2 2 2 3 4 3 2 2" xfId="5310" xr:uid="{3E2EA4B5-0D24-48E1-9527-91DFF2D7ACF2}"/>
    <cellStyle name="Финансовый 2 2 2 3 4 3 3" xfId="4611" xr:uid="{3E2EA4B5-0D24-48E1-9527-91DFF2D7ACF2}"/>
    <cellStyle name="Финансовый 2 2 2 3 4 4" xfId="1877" xr:uid="{3E2EA4B5-0D24-48E1-9527-91DFF2D7ACF2}"/>
    <cellStyle name="Финансовый 2 2 2 3 4 4 2" xfId="4872" xr:uid="{3E2EA4B5-0D24-48E1-9527-91DFF2D7ACF2}"/>
    <cellStyle name="Финансовый 2 2 2 3 4 5" xfId="3007" xr:uid="{3E2EA4B5-0D24-48E1-9527-91DFF2D7ACF2}"/>
    <cellStyle name="Финансовый 2 2 2 3 4 5 2" xfId="6001" xr:uid="{3E2EA4B5-0D24-48E1-9527-91DFF2D7ACF2}"/>
    <cellStyle name="Финансовый 2 2 2 3 4 6" xfId="3818" xr:uid="{3E2EA4B5-0D24-48E1-9527-91DFF2D7ACF2}"/>
    <cellStyle name="Финансовый 2 2 2 3 5" xfId="716" xr:uid="{3E2EA4B5-0D24-48E1-9527-91DFF2D7ACF2}"/>
    <cellStyle name="Финансовый 2 2 2 3 5 2" xfId="1511" xr:uid="{3E2EA4B5-0D24-48E1-9527-91DFF2D7ACF2}"/>
    <cellStyle name="Финансовый 2 2 2 3 5 2 2" xfId="2232" xr:uid="{3E2EA4B5-0D24-48E1-9527-91DFF2D7ACF2}"/>
    <cellStyle name="Финансовый 2 2 2 3 5 2 2 2" xfId="5226" xr:uid="{3E2EA4B5-0D24-48E1-9527-91DFF2D7ACF2}"/>
    <cellStyle name="Финансовый 2 2 2 3 5 2 3" xfId="4506" xr:uid="{3E2EA4B5-0D24-48E1-9527-91DFF2D7ACF2}"/>
    <cellStyle name="Финансовый 2 2 2 3 5 3" xfId="1793" xr:uid="{3E2EA4B5-0D24-48E1-9527-91DFF2D7ACF2}"/>
    <cellStyle name="Финансовый 2 2 2 3 5 3 2" xfId="4788" xr:uid="{3E2EA4B5-0D24-48E1-9527-91DFF2D7ACF2}"/>
    <cellStyle name="Финансовый 2 2 2 3 5 4" xfId="2902" xr:uid="{3E2EA4B5-0D24-48E1-9527-91DFF2D7ACF2}"/>
    <cellStyle name="Финансовый 2 2 2 3 5 4 2" xfId="5896" xr:uid="{3E2EA4B5-0D24-48E1-9527-91DFF2D7ACF2}"/>
    <cellStyle name="Финансовый 2 2 2 3 5 5" xfId="3713" xr:uid="{3E2EA4B5-0D24-48E1-9527-91DFF2D7ACF2}"/>
    <cellStyle name="Финансовый 2 2 2 3 6" xfId="961" xr:uid="{3E2EA4B5-0D24-48E1-9527-91DFF2D7ACF2}"/>
    <cellStyle name="Финансовый 2 2 2 3 6 2" xfId="1998" xr:uid="{3E2EA4B5-0D24-48E1-9527-91DFF2D7ACF2}"/>
    <cellStyle name="Финансовый 2 2 2 3 6 2 2" xfId="4992" xr:uid="{3E2EA4B5-0D24-48E1-9527-91DFF2D7ACF2}"/>
    <cellStyle name="Финансовый 2 2 2 3 6 3" xfId="2672" xr:uid="{3E2EA4B5-0D24-48E1-9527-91DFF2D7ACF2}"/>
    <cellStyle name="Финансовый 2 2 2 3 6 3 2" xfId="5666" xr:uid="{3E2EA4B5-0D24-48E1-9527-91DFF2D7ACF2}"/>
    <cellStyle name="Финансовый 2 2 2 3 6 4" xfId="3956" xr:uid="{3E2EA4B5-0D24-48E1-9527-91DFF2D7ACF2}"/>
    <cellStyle name="Финансовый 2 2 2 3 7" xfId="1281" xr:uid="{3E2EA4B5-0D24-48E1-9527-91DFF2D7ACF2}"/>
    <cellStyle name="Финансовый 2 2 2 3 7 2" xfId="2140" xr:uid="{3E2EA4B5-0D24-48E1-9527-91DFF2D7ACF2}"/>
    <cellStyle name="Финансовый 2 2 2 3 7 2 2" xfId="5134" xr:uid="{3E2EA4B5-0D24-48E1-9527-91DFF2D7ACF2}"/>
    <cellStyle name="Финансовый 2 2 2 3 7 3" xfId="4276" xr:uid="{3E2EA4B5-0D24-48E1-9527-91DFF2D7ACF2}"/>
    <cellStyle name="Финансовый 2 2 2 3 8" xfId="1701" xr:uid="{3E2EA4B5-0D24-48E1-9527-91DFF2D7ACF2}"/>
    <cellStyle name="Финансовый 2 2 2 3 8 2" xfId="4696" xr:uid="{3E2EA4B5-0D24-48E1-9527-91DFF2D7ACF2}"/>
    <cellStyle name="Финансовый 2 2 2 3 9" xfId="2567" xr:uid="{3E2EA4B5-0D24-48E1-9527-91DFF2D7ACF2}"/>
    <cellStyle name="Финансовый 2 2 2 3 9 2" xfId="5561" xr:uid="{3E2EA4B5-0D24-48E1-9527-91DFF2D7ACF2}"/>
    <cellStyle name="Финансовый 2 2 2 4" xfId="496" xr:uid="{3E2EA4B5-0D24-48E1-9527-91DFF2D7ACF2}"/>
    <cellStyle name="Финансовый 2 2 2 4 2" xfId="836" xr:uid="{3E2EA4B5-0D24-48E1-9527-91DFF2D7ACF2}"/>
    <cellStyle name="Финансовый 2 2 2 4 2 2" xfId="1190" xr:uid="{3E2EA4B5-0D24-48E1-9527-91DFF2D7ACF2}"/>
    <cellStyle name="Финансовый 2 2 2 4 2 2 2" xfId="2070" xr:uid="{3E2EA4B5-0D24-48E1-9527-91DFF2D7ACF2}"/>
    <cellStyle name="Финансовый 2 2 2 4 2 2 2 2" xfId="5064" xr:uid="{3E2EA4B5-0D24-48E1-9527-91DFF2D7ACF2}"/>
    <cellStyle name="Финансовый 2 2 2 4 2 2 3" xfId="4185" xr:uid="{3E2EA4B5-0D24-48E1-9527-91DFF2D7ACF2}"/>
    <cellStyle name="Финансовый 2 2 2 4 2 3" xfId="1630" xr:uid="{3E2EA4B5-0D24-48E1-9527-91DFF2D7ACF2}"/>
    <cellStyle name="Финансовый 2 2 2 4 2 3 2" xfId="2330" xr:uid="{3E2EA4B5-0D24-48E1-9527-91DFF2D7ACF2}"/>
    <cellStyle name="Финансовый 2 2 2 4 2 3 2 2" xfId="5324" xr:uid="{3E2EA4B5-0D24-48E1-9527-91DFF2D7ACF2}"/>
    <cellStyle name="Финансовый 2 2 2 4 2 3 3" xfId="4625" xr:uid="{3E2EA4B5-0D24-48E1-9527-91DFF2D7ACF2}"/>
    <cellStyle name="Финансовый 2 2 2 4 2 4" xfId="1891" xr:uid="{3E2EA4B5-0D24-48E1-9527-91DFF2D7ACF2}"/>
    <cellStyle name="Финансовый 2 2 2 4 2 4 2" xfId="4886" xr:uid="{3E2EA4B5-0D24-48E1-9527-91DFF2D7ACF2}"/>
    <cellStyle name="Финансовый 2 2 2 4 2 5" xfId="3021" xr:uid="{3E2EA4B5-0D24-48E1-9527-91DFF2D7ACF2}"/>
    <cellStyle name="Финансовый 2 2 2 4 2 5 2" xfId="6015" xr:uid="{3E2EA4B5-0D24-48E1-9527-91DFF2D7ACF2}"/>
    <cellStyle name="Финансовый 2 2 2 4 2 6" xfId="3832" xr:uid="{3E2EA4B5-0D24-48E1-9527-91DFF2D7ACF2}"/>
    <cellStyle name="Финансовый 2 2 2 4 3" xfId="730" xr:uid="{3E2EA4B5-0D24-48E1-9527-91DFF2D7ACF2}"/>
    <cellStyle name="Финансовый 2 2 2 4 3 2" xfId="1525" xr:uid="{3E2EA4B5-0D24-48E1-9527-91DFF2D7ACF2}"/>
    <cellStyle name="Финансовый 2 2 2 4 3 2 2" xfId="2246" xr:uid="{3E2EA4B5-0D24-48E1-9527-91DFF2D7ACF2}"/>
    <cellStyle name="Финансовый 2 2 2 4 3 2 2 2" xfId="5240" xr:uid="{3E2EA4B5-0D24-48E1-9527-91DFF2D7ACF2}"/>
    <cellStyle name="Финансовый 2 2 2 4 3 2 3" xfId="4520" xr:uid="{3E2EA4B5-0D24-48E1-9527-91DFF2D7ACF2}"/>
    <cellStyle name="Финансовый 2 2 2 4 3 3" xfId="1807" xr:uid="{3E2EA4B5-0D24-48E1-9527-91DFF2D7ACF2}"/>
    <cellStyle name="Финансовый 2 2 2 4 3 3 2" xfId="4802" xr:uid="{3E2EA4B5-0D24-48E1-9527-91DFF2D7ACF2}"/>
    <cellStyle name="Финансовый 2 2 2 4 3 4" xfId="2916" xr:uid="{3E2EA4B5-0D24-48E1-9527-91DFF2D7ACF2}"/>
    <cellStyle name="Финансовый 2 2 2 4 3 4 2" xfId="5910" xr:uid="{3E2EA4B5-0D24-48E1-9527-91DFF2D7ACF2}"/>
    <cellStyle name="Финансовый 2 2 2 4 3 5" xfId="3727" xr:uid="{3E2EA4B5-0D24-48E1-9527-91DFF2D7ACF2}"/>
    <cellStyle name="Финансовый 2 2 2 4 4" xfId="964" xr:uid="{3E2EA4B5-0D24-48E1-9527-91DFF2D7ACF2}"/>
    <cellStyle name="Финансовый 2 2 2 4 4 2" xfId="2000" xr:uid="{3E2EA4B5-0D24-48E1-9527-91DFF2D7ACF2}"/>
    <cellStyle name="Финансовый 2 2 2 4 4 2 2" xfId="4994" xr:uid="{3E2EA4B5-0D24-48E1-9527-91DFF2D7ACF2}"/>
    <cellStyle name="Финансовый 2 2 2 4 4 3" xfId="2686" xr:uid="{3E2EA4B5-0D24-48E1-9527-91DFF2D7ACF2}"/>
    <cellStyle name="Финансовый 2 2 2 4 4 3 2" xfId="5680" xr:uid="{3E2EA4B5-0D24-48E1-9527-91DFF2D7ACF2}"/>
    <cellStyle name="Финансовый 2 2 2 4 4 4" xfId="3959" xr:uid="{3E2EA4B5-0D24-48E1-9527-91DFF2D7ACF2}"/>
    <cellStyle name="Финансовый 2 2 2 4 5" xfId="1295" xr:uid="{3E2EA4B5-0D24-48E1-9527-91DFF2D7ACF2}"/>
    <cellStyle name="Финансовый 2 2 2 4 5 2" xfId="2154" xr:uid="{3E2EA4B5-0D24-48E1-9527-91DFF2D7ACF2}"/>
    <cellStyle name="Финансовый 2 2 2 4 5 2 2" xfId="5148" xr:uid="{3E2EA4B5-0D24-48E1-9527-91DFF2D7ACF2}"/>
    <cellStyle name="Финансовый 2 2 2 4 5 3" xfId="4290" xr:uid="{3E2EA4B5-0D24-48E1-9527-91DFF2D7ACF2}"/>
    <cellStyle name="Финансовый 2 2 2 4 6" xfId="1715" xr:uid="{3E2EA4B5-0D24-48E1-9527-91DFF2D7ACF2}"/>
    <cellStyle name="Финансовый 2 2 2 4 6 2" xfId="4710" xr:uid="{3E2EA4B5-0D24-48E1-9527-91DFF2D7ACF2}"/>
    <cellStyle name="Финансовый 2 2 2 4 7" xfId="2581" xr:uid="{3E2EA4B5-0D24-48E1-9527-91DFF2D7ACF2}"/>
    <cellStyle name="Финансовый 2 2 2 4 7 2" xfId="5575" xr:uid="{3E2EA4B5-0D24-48E1-9527-91DFF2D7ACF2}"/>
    <cellStyle name="Финансовый 2 2 2 4 8" xfId="3497" xr:uid="{3E2EA4B5-0D24-48E1-9527-91DFF2D7ACF2}"/>
    <cellStyle name="Финансовый 2 2 2 5" xfId="526" xr:uid="{3E2EA4B5-0D24-48E1-9527-91DFF2D7ACF2}"/>
    <cellStyle name="Финансовый 2 2 2 5 2" xfId="864" xr:uid="{3E2EA4B5-0D24-48E1-9527-91DFF2D7ACF2}"/>
    <cellStyle name="Финансовый 2 2 2 5 2 2" xfId="1218" xr:uid="{3E2EA4B5-0D24-48E1-9527-91DFF2D7ACF2}"/>
    <cellStyle name="Финансовый 2 2 2 5 2 2 2" xfId="2098" xr:uid="{3E2EA4B5-0D24-48E1-9527-91DFF2D7ACF2}"/>
    <cellStyle name="Финансовый 2 2 2 5 2 2 2 2" xfId="5092" xr:uid="{3E2EA4B5-0D24-48E1-9527-91DFF2D7ACF2}"/>
    <cellStyle name="Финансовый 2 2 2 5 2 2 3" xfId="4213" xr:uid="{3E2EA4B5-0D24-48E1-9527-91DFF2D7ACF2}"/>
    <cellStyle name="Финансовый 2 2 2 5 2 3" xfId="1658" xr:uid="{3E2EA4B5-0D24-48E1-9527-91DFF2D7ACF2}"/>
    <cellStyle name="Финансовый 2 2 2 5 2 3 2" xfId="2358" xr:uid="{3E2EA4B5-0D24-48E1-9527-91DFF2D7ACF2}"/>
    <cellStyle name="Финансовый 2 2 2 5 2 3 2 2" xfId="5352" xr:uid="{3E2EA4B5-0D24-48E1-9527-91DFF2D7ACF2}"/>
    <cellStyle name="Финансовый 2 2 2 5 2 3 3" xfId="4653" xr:uid="{3E2EA4B5-0D24-48E1-9527-91DFF2D7ACF2}"/>
    <cellStyle name="Финансовый 2 2 2 5 2 4" xfId="1919" xr:uid="{3E2EA4B5-0D24-48E1-9527-91DFF2D7ACF2}"/>
    <cellStyle name="Финансовый 2 2 2 5 2 4 2" xfId="4914" xr:uid="{3E2EA4B5-0D24-48E1-9527-91DFF2D7ACF2}"/>
    <cellStyle name="Финансовый 2 2 2 5 2 5" xfId="3049" xr:uid="{3E2EA4B5-0D24-48E1-9527-91DFF2D7ACF2}"/>
    <cellStyle name="Финансовый 2 2 2 5 2 5 2" xfId="6043" xr:uid="{3E2EA4B5-0D24-48E1-9527-91DFF2D7ACF2}"/>
    <cellStyle name="Финансовый 2 2 2 5 2 6" xfId="3860" xr:uid="{3E2EA4B5-0D24-48E1-9527-91DFF2D7ACF2}"/>
    <cellStyle name="Финансовый 2 2 2 5 3" xfId="759" xr:uid="{3E2EA4B5-0D24-48E1-9527-91DFF2D7ACF2}"/>
    <cellStyle name="Финансовый 2 2 2 5 3 2" xfId="1553" xr:uid="{3E2EA4B5-0D24-48E1-9527-91DFF2D7ACF2}"/>
    <cellStyle name="Финансовый 2 2 2 5 3 2 2" xfId="2274" xr:uid="{3E2EA4B5-0D24-48E1-9527-91DFF2D7ACF2}"/>
    <cellStyle name="Финансовый 2 2 2 5 3 2 2 2" xfId="5268" xr:uid="{3E2EA4B5-0D24-48E1-9527-91DFF2D7ACF2}"/>
    <cellStyle name="Финансовый 2 2 2 5 3 2 3" xfId="4548" xr:uid="{3E2EA4B5-0D24-48E1-9527-91DFF2D7ACF2}"/>
    <cellStyle name="Финансовый 2 2 2 5 3 3" xfId="1835" xr:uid="{3E2EA4B5-0D24-48E1-9527-91DFF2D7ACF2}"/>
    <cellStyle name="Финансовый 2 2 2 5 3 3 2" xfId="4830" xr:uid="{3E2EA4B5-0D24-48E1-9527-91DFF2D7ACF2}"/>
    <cellStyle name="Финансовый 2 2 2 5 3 4" xfId="2944" xr:uid="{3E2EA4B5-0D24-48E1-9527-91DFF2D7ACF2}"/>
    <cellStyle name="Финансовый 2 2 2 5 3 4 2" xfId="5938" xr:uid="{3E2EA4B5-0D24-48E1-9527-91DFF2D7ACF2}"/>
    <cellStyle name="Финансовый 2 2 2 5 3 5" xfId="3755" xr:uid="{3E2EA4B5-0D24-48E1-9527-91DFF2D7ACF2}"/>
    <cellStyle name="Финансовый 2 2 2 5 4" xfId="969" xr:uid="{3E2EA4B5-0D24-48E1-9527-91DFF2D7ACF2}"/>
    <cellStyle name="Финансовый 2 2 2 5 4 2" xfId="2004" xr:uid="{3E2EA4B5-0D24-48E1-9527-91DFF2D7ACF2}"/>
    <cellStyle name="Финансовый 2 2 2 5 4 2 2" xfId="4998" xr:uid="{3E2EA4B5-0D24-48E1-9527-91DFF2D7ACF2}"/>
    <cellStyle name="Финансовый 2 2 2 5 4 3" xfId="2714" xr:uid="{3E2EA4B5-0D24-48E1-9527-91DFF2D7ACF2}"/>
    <cellStyle name="Финансовый 2 2 2 5 4 3 2" xfId="5708" xr:uid="{3E2EA4B5-0D24-48E1-9527-91DFF2D7ACF2}"/>
    <cellStyle name="Финансовый 2 2 2 5 4 4" xfId="3964" xr:uid="{3E2EA4B5-0D24-48E1-9527-91DFF2D7ACF2}"/>
    <cellStyle name="Финансовый 2 2 2 5 5" xfId="1323" xr:uid="{3E2EA4B5-0D24-48E1-9527-91DFF2D7ACF2}"/>
    <cellStyle name="Финансовый 2 2 2 5 5 2" xfId="2182" xr:uid="{3E2EA4B5-0D24-48E1-9527-91DFF2D7ACF2}"/>
    <cellStyle name="Финансовый 2 2 2 5 5 2 2" xfId="5176" xr:uid="{3E2EA4B5-0D24-48E1-9527-91DFF2D7ACF2}"/>
    <cellStyle name="Финансовый 2 2 2 5 5 3" xfId="4318" xr:uid="{3E2EA4B5-0D24-48E1-9527-91DFF2D7ACF2}"/>
    <cellStyle name="Финансовый 2 2 2 5 6" xfId="1743" xr:uid="{3E2EA4B5-0D24-48E1-9527-91DFF2D7ACF2}"/>
    <cellStyle name="Финансовый 2 2 2 5 6 2" xfId="4738" xr:uid="{3E2EA4B5-0D24-48E1-9527-91DFF2D7ACF2}"/>
    <cellStyle name="Финансовый 2 2 2 5 7" xfId="2609" xr:uid="{3E2EA4B5-0D24-48E1-9527-91DFF2D7ACF2}"/>
    <cellStyle name="Финансовый 2 2 2 5 7 2" xfId="5603" xr:uid="{3E2EA4B5-0D24-48E1-9527-91DFF2D7ACF2}"/>
    <cellStyle name="Финансовый 2 2 2 5 8" xfId="3525" xr:uid="{3E2EA4B5-0D24-48E1-9527-91DFF2D7ACF2}"/>
    <cellStyle name="Финансовый 2 2 2 6" xfId="807" xr:uid="{3E2EA4B5-0D24-48E1-9527-91DFF2D7ACF2}"/>
    <cellStyle name="Финансовый 2 2 2 6 2" xfId="1161" xr:uid="{3E2EA4B5-0D24-48E1-9527-91DFF2D7ACF2}"/>
    <cellStyle name="Финансовый 2 2 2 6 2 2" xfId="2042" xr:uid="{3E2EA4B5-0D24-48E1-9527-91DFF2D7ACF2}"/>
    <cellStyle name="Финансовый 2 2 2 6 2 2 2" xfId="5036" xr:uid="{3E2EA4B5-0D24-48E1-9527-91DFF2D7ACF2}"/>
    <cellStyle name="Финансовый 2 2 2 6 2 3" xfId="4156" xr:uid="{3E2EA4B5-0D24-48E1-9527-91DFF2D7ACF2}"/>
    <cellStyle name="Финансовый 2 2 2 6 3" xfId="1601" xr:uid="{3E2EA4B5-0D24-48E1-9527-91DFF2D7ACF2}"/>
    <cellStyle name="Финансовый 2 2 2 6 3 2" xfId="2302" xr:uid="{3E2EA4B5-0D24-48E1-9527-91DFF2D7ACF2}"/>
    <cellStyle name="Финансовый 2 2 2 6 3 2 2" xfId="5296" xr:uid="{3E2EA4B5-0D24-48E1-9527-91DFF2D7ACF2}"/>
    <cellStyle name="Финансовый 2 2 2 6 3 3" xfId="4596" xr:uid="{3E2EA4B5-0D24-48E1-9527-91DFF2D7ACF2}"/>
    <cellStyle name="Финансовый 2 2 2 6 4" xfId="1863" xr:uid="{3E2EA4B5-0D24-48E1-9527-91DFF2D7ACF2}"/>
    <cellStyle name="Финансовый 2 2 2 6 4 2" xfId="4858" xr:uid="{3E2EA4B5-0D24-48E1-9527-91DFF2D7ACF2}"/>
    <cellStyle name="Финансовый 2 2 2 6 5" xfId="2992" xr:uid="{3E2EA4B5-0D24-48E1-9527-91DFF2D7ACF2}"/>
    <cellStyle name="Финансовый 2 2 2 6 5 2" xfId="5986" xr:uid="{3E2EA4B5-0D24-48E1-9527-91DFF2D7ACF2}"/>
    <cellStyle name="Финансовый 2 2 2 6 6" xfId="3803" xr:uid="{3E2EA4B5-0D24-48E1-9527-91DFF2D7ACF2}"/>
    <cellStyle name="Финансовый 2 2 2 7" xfId="701" xr:uid="{3E2EA4B5-0D24-48E1-9527-91DFF2D7ACF2}"/>
    <cellStyle name="Финансовый 2 2 2 7 2" xfId="1496" xr:uid="{3E2EA4B5-0D24-48E1-9527-91DFF2D7ACF2}"/>
    <cellStyle name="Финансовый 2 2 2 7 2 2" xfId="2218" xr:uid="{3E2EA4B5-0D24-48E1-9527-91DFF2D7ACF2}"/>
    <cellStyle name="Финансовый 2 2 2 7 2 2 2" xfId="5212" xr:uid="{3E2EA4B5-0D24-48E1-9527-91DFF2D7ACF2}"/>
    <cellStyle name="Финансовый 2 2 2 7 2 3" xfId="4491" xr:uid="{3E2EA4B5-0D24-48E1-9527-91DFF2D7ACF2}"/>
    <cellStyle name="Финансовый 2 2 2 7 3" xfId="1779" xr:uid="{3E2EA4B5-0D24-48E1-9527-91DFF2D7ACF2}"/>
    <cellStyle name="Финансовый 2 2 2 7 3 2" xfId="4774" xr:uid="{3E2EA4B5-0D24-48E1-9527-91DFF2D7ACF2}"/>
    <cellStyle name="Финансовый 2 2 2 7 4" xfId="2887" xr:uid="{3E2EA4B5-0D24-48E1-9527-91DFF2D7ACF2}"/>
    <cellStyle name="Финансовый 2 2 2 7 4 2" xfId="5881" xr:uid="{3E2EA4B5-0D24-48E1-9527-91DFF2D7ACF2}"/>
    <cellStyle name="Финансовый 2 2 2 7 5" xfId="3698" xr:uid="{3E2EA4B5-0D24-48E1-9527-91DFF2D7ACF2}"/>
    <cellStyle name="Финансовый 2 2 2 8" xfId="963" xr:uid="{3E2EA4B5-0D24-48E1-9527-91DFF2D7ACF2}"/>
    <cellStyle name="Финансовый 2 2 2 8 2" xfId="1999" xr:uid="{3E2EA4B5-0D24-48E1-9527-91DFF2D7ACF2}"/>
    <cellStyle name="Финансовый 2 2 2 8 2 2" xfId="4993" xr:uid="{3E2EA4B5-0D24-48E1-9527-91DFF2D7ACF2}"/>
    <cellStyle name="Финансовый 2 2 2 8 3" xfId="2657" xr:uid="{3E2EA4B5-0D24-48E1-9527-91DFF2D7ACF2}"/>
    <cellStyle name="Финансовый 2 2 2 8 3 2" xfId="5651" xr:uid="{3E2EA4B5-0D24-48E1-9527-91DFF2D7ACF2}"/>
    <cellStyle name="Финансовый 2 2 2 8 4" xfId="3958" xr:uid="{3E2EA4B5-0D24-48E1-9527-91DFF2D7ACF2}"/>
    <cellStyle name="Финансовый 2 2 2 9" xfId="1266" xr:uid="{3E2EA4B5-0D24-48E1-9527-91DFF2D7ACF2}"/>
    <cellStyle name="Финансовый 2 2 2 9 2" xfId="2126" xr:uid="{3E2EA4B5-0D24-48E1-9527-91DFF2D7ACF2}"/>
    <cellStyle name="Финансовый 2 2 2 9 2 2" xfId="5120" xr:uid="{3E2EA4B5-0D24-48E1-9527-91DFF2D7ACF2}"/>
    <cellStyle name="Финансовый 2 2 2 9 3" xfId="4261" xr:uid="{3E2EA4B5-0D24-48E1-9527-91DFF2D7ACF2}"/>
    <cellStyle name="Финансовый 2 2 3" xfId="473" xr:uid="{3E2EA4B5-0D24-48E1-9527-91DFF2D7ACF2}"/>
    <cellStyle name="Финансовый 2 2 3 10" xfId="2558" xr:uid="{3E2EA4B5-0D24-48E1-9527-91DFF2D7ACF2}"/>
    <cellStyle name="Финансовый 2 2 3 10 2" xfId="5552" xr:uid="{3E2EA4B5-0D24-48E1-9527-91DFF2D7ACF2}"/>
    <cellStyle name="Финансовый 2 2 3 11" xfId="3474" xr:uid="{3E2EA4B5-0D24-48E1-9527-91DFF2D7ACF2}"/>
    <cellStyle name="Финансовый 2 2 3 2" xfId="487" xr:uid="{3E2EA4B5-0D24-48E1-9527-91DFF2D7ACF2}"/>
    <cellStyle name="Финансовый 2 2 3 2 10" xfId="3488" xr:uid="{3E2EA4B5-0D24-48E1-9527-91DFF2D7ACF2}"/>
    <cellStyle name="Финансовый 2 2 3 2 2" xfId="517" xr:uid="{3E2EA4B5-0D24-48E1-9527-91DFF2D7ACF2}"/>
    <cellStyle name="Финансовый 2 2 3 2 2 2" xfId="855" xr:uid="{3E2EA4B5-0D24-48E1-9527-91DFF2D7ACF2}"/>
    <cellStyle name="Финансовый 2 2 3 2 2 2 2" xfId="1209" xr:uid="{3E2EA4B5-0D24-48E1-9527-91DFF2D7ACF2}"/>
    <cellStyle name="Финансовый 2 2 3 2 2 2 2 2" xfId="2089" xr:uid="{3E2EA4B5-0D24-48E1-9527-91DFF2D7ACF2}"/>
    <cellStyle name="Финансовый 2 2 3 2 2 2 2 2 2" xfId="5083" xr:uid="{3E2EA4B5-0D24-48E1-9527-91DFF2D7ACF2}"/>
    <cellStyle name="Финансовый 2 2 3 2 2 2 2 3" xfId="4204" xr:uid="{3E2EA4B5-0D24-48E1-9527-91DFF2D7ACF2}"/>
    <cellStyle name="Финансовый 2 2 3 2 2 2 3" xfId="1649" xr:uid="{3E2EA4B5-0D24-48E1-9527-91DFF2D7ACF2}"/>
    <cellStyle name="Финансовый 2 2 3 2 2 2 3 2" xfId="2349" xr:uid="{3E2EA4B5-0D24-48E1-9527-91DFF2D7ACF2}"/>
    <cellStyle name="Финансовый 2 2 3 2 2 2 3 2 2" xfId="5343" xr:uid="{3E2EA4B5-0D24-48E1-9527-91DFF2D7ACF2}"/>
    <cellStyle name="Финансовый 2 2 3 2 2 2 3 3" xfId="4644" xr:uid="{3E2EA4B5-0D24-48E1-9527-91DFF2D7ACF2}"/>
    <cellStyle name="Финансовый 2 2 3 2 2 2 4" xfId="1910" xr:uid="{3E2EA4B5-0D24-48E1-9527-91DFF2D7ACF2}"/>
    <cellStyle name="Финансовый 2 2 3 2 2 2 4 2" xfId="4905" xr:uid="{3E2EA4B5-0D24-48E1-9527-91DFF2D7ACF2}"/>
    <cellStyle name="Финансовый 2 2 3 2 2 2 5" xfId="3040" xr:uid="{3E2EA4B5-0D24-48E1-9527-91DFF2D7ACF2}"/>
    <cellStyle name="Финансовый 2 2 3 2 2 2 5 2" xfId="6034" xr:uid="{3E2EA4B5-0D24-48E1-9527-91DFF2D7ACF2}"/>
    <cellStyle name="Финансовый 2 2 3 2 2 2 6" xfId="3851" xr:uid="{3E2EA4B5-0D24-48E1-9527-91DFF2D7ACF2}"/>
    <cellStyle name="Финансовый 2 2 3 2 2 3" xfId="750" xr:uid="{3E2EA4B5-0D24-48E1-9527-91DFF2D7ACF2}"/>
    <cellStyle name="Финансовый 2 2 3 2 2 3 2" xfId="1544" xr:uid="{3E2EA4B5-0D24-48E1-9527-91DFF2D7ACF2}"/>
    <cellStyle name="Финансовый 2 2 3 2 2 3 2 2" xfId="2265" xr:uid="{3E2EA4B5-0D24-48E1-9527-91DFF2D7ACF2}"/>
    <cellStyle name="Финансовый 2 2 3 2 2 3 2 2 2" xfId="5259" xr:uid="{3E2EA4B5-0D24-48E1-9527-91DFF2D7ACF2}"/>
    <cellStyle name="Финансовый 2 2 3 2 2 3 2 3" xfId="4539" xr:uid="{3E2EA4B5-0D24-48E1-9527-91DFF2D7ACF2}"/>
    <cellStyle name="Финансовый 2 2 3 2 2 3 3" xfId="1826" xr:uid="{3E2EA4B5-0D24-48E1-9527-91DFF2D7ACF2}"/>
    <cellStyle name="Финансовый 2 2 3 2 2 3 3 2" xfId="4821" xr:uid="{3E2EA4B5-0D24-48E1-9527-91DFF2D7ACF2}"/>
    <cellStyle name="Финансовый 2 2 3 2 2 3 4" xfId="2935" xr:uid="{3E2EA4B5-0D24-48E1-9527-91DFF2D7ACF2}"/>
    <cellStyle name="Финансовый 2 2 3 2 2 3 4 2" xfId="5929" xr:uid="{3E2EA4B5-0D24-48E1-9527-91DFF2D7ACF2}"/>
    <cellStyle name="Финансовый 2 2 3 2 2 3 5" xfId="3746" xr:uid="{3E2EA4B5-0D24-48E1-9527-91DFF2D7ACF2}"/>
    <cellStyle name="Финансовый 2 2 3 2 2 4" xfId="906" xr:uid="{3E2EA4B5-0D24-48E1-9527-91DFF2D7ACF2}"/>
    <cellStyle name="Финансовый 2 2 3 2 2 4 2" xfId="1955" xr:uid="{3E2EA4B5-0D24-48E1-9527-91DFF2D7ACF2}"/>
    <cellStyle name="Финансовый 2 2 3 2 2 4 2 2" xfId="4950" xr:uid="{3E2EA4B5-0D24-48E1-9527-91DFF2D7ACF2}"/>
    <cellStyle name="Финансовый 2 2 3 2 2 4 3" xfId="2705" xr:uid="{3E2EA4B5-0D24-48E1-9527-91DFF2D7ACF2}"/>
    <cellStyle name="Финансовый 2 2 3 2 2 4 3 2" xfId="5699" xr:uid="{3E2EA4B5-0D24-48E1-9527-91DFF2D7ACF2}"/>
    <cellStyle name="Финансовый 2 2 3 2 2 4 4" xfId="3902" xr:uid="{3E2EA4B5-0D24-48E1-9527-91DFF2D7ACF2}"/>
    <cellStyle name="Финансовый 2 2 3 2 2 5" xfId="1314" xr:uid="{3E2EA4B5-0D24-48E1-9527-91DFF2D7ACF2}"/>
    <cellStyle name="Финансовый 2 2 3 2 2 5 2" xfId="2173" xr:uid="{3E2EA4B5-0D24-48E1-9527-91DFF2D7ACF2}"/>
    <cellStyle name="Финансовый 2 2 3 2 2 5 2 2" xfId="5167" xr:uid="{3E2EA4B5-0D24-48E1-9527-91DFF2D7ACF2}"/>
    <cellStyle name="Финансовый 2 2 3 2 2 5 3" xfId="4309" xr:uid="{3E2EA4B5-0D24-48E1-9527-91DFF2D7ACF2}"/>
    <cellStyle name="Финансовый 2 2 3 2 2 6" xfId="1734" xr:uid="{3E2EA4B5-0D24-48E1-9527-91DFF2D7ACF2}"/>
    <cellStyle name="Финансовый 2 2 3 2 2 6 2" xfId="4729" xr:uid="{3E2EA4B5-0D24-48E1-9527-91DFF2D7ACF2}"/>
    <cellStyle name="Финансовый 2 2 3 2 2 7" xfId="2600" xr:uid="{3E2EA4B5-0D24-48E1-9527-91DFF2D7ACF2}"/>
    <cellStyle name="Финансовый 2 2 3 2 2 7 2" xfId="5594" xr:uid="{3E2EA4B5-0D24-48E1-9527-91DFF2D7ACF2}"/>
    <cellStyle name="Финансовый 2 2 3 2 2 8" xfId="3516" xr:uid="{3E2EA4B5-0D24-48E1-9527-91DFF2D7ACF2}"/>
    <cellStyle name="Финансовый 2 2 3 2 3" xfId="545" xr:uid="{3E2EA4B5-0D24-48E1-9527-91DFF2D7ACF2}"/>
    <cellStyle name="Финансовый 2 2 3 2 3 2" xfId="883" xr:uid="{3E2EA4B5-0D24-48E1-9527-91DFF2D7ACF2}"/>
    <cellStyle name="Финансовый 2 2 3 2 3 2 2" xfId="1237" xr:uid="{3E2EA4B5-0D24-48E1-9527-91DFF2D7ACF2}"/>
    <cellStyle name="Финансовый 2 2 3 2 3 2 2 2" xfId="2117" xr:uid="{3E2EA4B5-0D24-48E1-9527-91DFF2D7ACF2}"/>
    <cellStyle name="Финансовый 2 2 3 2 3 2 2 2 2" xfId="5111" xr:uid="{3E2EA4B5-0D24-48E1-9527-91DFF2D7ACF2}"/>
    <cellStyle name="Финансовый 2 2 3 2 3 2 2 3" xfId="4232" xr:uid="{3E2EA4B5-0D24-48E1-9527-91DFF2D7ACF2}"/>
    <cellStyle name="Финансовый 2 2 3 2 3 2 3" xfId="1677" xr:uid="{3E2EA4B5-0D24-48E1-9527-91DFF2D7ACF2}"/>
    <cellStyle name="Финансовый 2 2 3 2 3 2 3 2" xfId="2377" xr:uid="{3E2EA4B5-0D24-48E1-9527-91DFF2D7ACF2}"/>
    <cellStyle name="Финансовый 2 2 3 2 3 2 3 2 2" xfId="5371" xr:uid="{3E2EA4B5-0D24-48E1-9527-91DFF2D7ACF2}"/>
    <cellStyle name="Финансовый 2 2 3 2 3 2 3 3" xfId="4672" xr:uid="{3E2EA4B5-0D24-48E1-9527-91DFF2D7ACF2}"/>
    <cellStyle name="Финансовый 2 2 3 2 3 2 4" xfId="1938" xr:uid="{3E2EA4B5-0D24-48E1-9527-91DFF2D7ACF2}"/>
    <cellStyle name="Финансовый 2 2 3 2 3 2 4 2" xfId="4933" xr:uid="{3E2EA4B5-0D24-48E1-9527-91DFF2D7ACF2}"/>
    <cellStyle name="Финансовый 2 2 3 2 3 2 5" xfId="3068" xr:uid="{3E2EA4B5-0D24-48E1-9527-91DFF2D7ACF2}"/>
    <cellStyle name="Финансовый 2 2 3 2 3 2 5 2" xfId="6062" xr:uid="{3E2EA4B5-0D24-48E1-9527-91DFF2D7ACF2}"/>
    <cellStyle name="Финансовый 2 2 3 2 3 2 6" xfId="3879" xr:uid="{3E2EA4B5-0D24-48E1-9527-91DFF2D7ACF2}"/>
    <cellStyle name="Финансовый 2 2 3 2 3 3" xfId="778" xr:uid="{3E2EA4B5-0D24-48E1-9527-91DFF2D7ACF2}"/>
    <cellStyle name="Финансовый 2 2 3 2 3 3 2" xfId="1572" xr:uid="{3E2EA4B5-0D24-48E1-9527-91DFF2D7ACF2}"/>
    <cellStyle name="Финансовый 2 2 3 2 3 3 2 2" xfId="2293" xr:uid="{3E2EA4B5-0D24-48E1-9527-91DFF2D7ACF2}"/>
    <cellStyle name="Финансовый 2 2 3 2 3 3 2 2 2" xfId="5287" xr:uid="{3E2EA4B5-0D24-48E1-9527-91DFF2D7ACF2}"/>
    <cellStyle name="Финансовый 2 2 3 2 3 3 2 3" xfId="4567" xr:uid="{3E2EA4B5-0D24-48E1-9527-91DFF2D7ACF2}"/>
    <cellStyle name="Финансовый 2 2 3 2 3 3 3" xfId="1854" xr:uid="{3E2EA4B5-0D24-48E1-9527-91DFF2D7ACF2}"/>
    <cellStyle name="Финансовый 2 2 3 2 3 3 3 2" xfId="4849" xr:uid="{3E2EA4B5-0D24-48E1-9527-91DFF2D7ACF2}"/>
    <cellStyle name="Финансовый 2 2 3 2 3 3 4" xfId="2963" xr:uid="{3E2EA4B5-0D24-48E1-9527-91DFF2D7ACF2}"/>
    <cellStyle name="Финансовый 2 2 3 2 3 3 4 2" xfId="5957" xr:uid="{3E2EA4B5-0D24-48E1-9527-91DFF2D7ACF2}"/>
    <cellStyle name="Финансовый 2 2 3 2 3 3 5" xfId="3774" xr:uid="{3E2EA4B5-0D24-48E1-9527-91DFF2D7ACF2}"/>
    <cellStyle name="Финансовый 2 2 3 2 3 4" xfId="988" xr:uid="{3E2EA4B5-0D24-48E1-9527-91DFF2D7ACF2}"/>
    <cellStyle name="Финансовый 2 2 3 2 3 4 2" xfId="2023" xr:uid="{3E2EA4B5-0D24-48E1-9527-91DFF2D7ACF2}"/>
    <cellStyle name="Финансовый 2 2 3 2 3 4 2 2" xfId="5017" xr:uid="{3E2EA4B5-0D24-48E1-9527-91DFF2D7ACF2}"/>
    <cellStyle name="Финансовый 2 2 3 2 3 4 3" xfId="2733" xr:uid="{3E2EA4B5-0D24-48E1-9527-91DFF2D7ACF2}"/>
    <cellStyle name="Финансовый 2 2 3 2 3 4 3 2" xfId="5727" xr:uid="{3E2EA4B5-0D24-48E1-9527-91DFF2D7ACF2}"/>
    <cellStyle name="Финансовый 2 2 3 2 3 4 4" xfId="3983" xr:uid="{3E2EA4B5-0D24-48E1-9527-91DFF2D7ACF2}"/>
    <cellStyle name="Финансовый 2 2 3 2 3 5" xfId="1342" xr:uid="{3E2EA4B5-0D24-48E1-9527-91DFF2D7ACF2}"/>
    <cellStyle name="Финансовый 2 2 3 2 3 5 2" xfId="2201" xr:uid="{3E2EA4B5-0D24-48E1-9527-91DFF2D7ACF2}"/>
    <cellStyle name="Финансовый 2 2 3 2 3 5 2 2" xfId="5195" xr:uid="{3E2EA4B5-0D24-48E1-9527-91DFF2D7ACF2}"/>
    <cellStyle name="Финансовый 2 2 3 2 3 5 3" xfId="4337" xr:uid="{3E2EA4B5-0D24-48E1-9527-91DFF2D7ACF2}"/>
    <cellStyle name="Финансовый 2 2 3 2 3 6" xfId="1762" xr:uid="{3E2EA4B5-0D24-48E1-9527-91DFF2D7ACF2}"/>
    <cellStyle name="Финансовый 2 2 3 2 3 6 2" xfId="4757" xr:uid="{3E2EA4B5-0D24-48E1-9527-91DFF2D7ACF2}"/>
    <cellStyle name="Финансовый 2 2 3 2 3 7" xfId="2628" xr:uid="{3E2EA4B5-0D24-48E1-9527-91DFF2D7ACF2}"/>
    <cellStyle name="Финансовый 2 2 3 2 3 7 2" xfId="5622" xr:uid="{3E2EA4B5-0D24-48E1-9527-91DFF2D7ACF2}"/>
    <cellStyle name="Финансовый 2 2 3 2 3 8" xfId="3544" xr:uid="{3E2EA4B5-0D24-48E1-9527-91DFF2D7ACF2}"/>
    <cellStyle name="Финансовый 2 2 3 2 4" xfId="827" xr:uid="{3E2EA4B5-0D24-48E1-9527-91DFF2D7ACF2}"/>
    <cellStyle name="Финансовый 2 2 3 2 4 2" xfId="1181" xr:uid="{3E2EA4B5-0D24-48E1-9527-91DFF2D7ACF2}"/>
    <cellStyle name="Финансовый 2 2 3 2 4 2 2" xfId="2061" xr:uid="{3E2EA4B5-0D24-48E1-9527-91DFF2D7ACF2}"/>
    <cellStyle name="Финансовый 2 2 3 2 4 2 2 2" xfId="5055" xr:uid="{3E2EA4B5-0D24-48E1-9527-91DFF2D7ACF2}"/>
    <cellStyle name="Финансовый 2 2 3 2 4 2 3" xfId="4176" xr:uid="{3E2EA4B5-0D24-48E1-9527-91DFF2D7ACF2}"/>
    <cellStyle name="Финансовый 2 2 3 2 4 3" xfId="1621" xr:uid="{3E2EA4B5-0D24-48E1-9527-91DFF2D7ACF2}"/>
    <cellStyle name="Финансовый 2 2 3 2 4 3 2" xfId="2321" xr:uid="{3E2EA4B5-0D24-48E1-9527-91DFF2D7ACF2}"/>
    <cellStyle name="Финансовый 2 2 3 2 4 3 2 2" xfId="5315" xr:uid="{3E2EA4B5-0D24-48E1-9527-91DFF2D7ACF2}"/>
    <cellStyle name="Финансовый 2 2 3 2 4 3 3" xfId="4616" xr:uid="{3E2EA4B5-0D24-48E1-9527-91DFF2D7ACF2}"/>
    <cellStyle name="Финансовый 2 2 3 2 4 4" xfId="1882" xr:uid="{3E2EA4B5-0D24-48E1-9527-91DFF2D7ACF2}"/>
    <cellStyle name="Финансовый 2 2 3 2 4 4 2" xfId="4877" xr:uid="{3E2EA4B5-0D24-48E1-9527-91DFF2D7ACF2}"/>
    <cellStyle name="Финансовый 2 2 3 2 4 5" xfId="3012" xr:uid="{3E2EA4B5-0D24-48E1-9527-91DFF2D7ACF2}"/>
    <cellStyle name="Финансовый 2 2 3 2 4 5 2" xfId="6006" xr:uid="{3E2EA4B5-0D24-48E1-9527-91DFF2D7ACF2}"/>
    <cellStyle name="Финансовый 2 2 3 2 4 6" xfId="3823" xr:uid="{3E2EA4B5-0D24-48E1-9527-91DFF2D7ACF2}"/>
    <cellStyle name="Финансовый 2 2 3 2 5" xfId="721" xr:uid="{3E2EA4B5-0D24-48E1-9527-91DFF2D7ACF2}"/>
    <cellStyle name="Финансовый 2 2 3 2 5 2" xfId="1516" xr:uid="{3E2EA4B5-0D24-48E1-9527-91DFF2D7ACF2}"/>
    <cellStyle name="Финансовый 2 2 3 2 5 2 2" xfId="2237" xr:uid="{3E2EA4B5-0D24-48E1-9527-91DFF2D7ACF2}"/>
    <cellStyle name="Финансовый 2 2 3 2 5 2 2 2" xfId="5231" xr:uid="{3E2EA4B5-0D24-48E1-9527-91DFF2D7ACF2}"/>
    <cellStyle name="Финансовый 2 2 3 2 5 2 3" xfId="4511" xr:uid="{3E2EA4B5-0D24-48E1-9527-91DFF2D7ACF2}"/>
    <cellStyle name="Финансовый 2 2 3 2 5 3" xfId="1798" xr:uid="{3E2EA4B5-0D24-48E1-9527-91DFF2D7ACF2}"/>
    <cellStyle name="Финансовый 2 2 3 2 5 3 2" xfId="4793" xr:uid="{3E2EA4B5-0D24-48E1-9527-91DFF2D7ACF2}"/>
    <cellStyle name="Финансовый 2 2 3 2 5 4" xfId="2907" xr:uid="{3E2EA4B5-0D24-48E1-9527-91DFF2D7ACF2}"/>
    <cellStyle name="Финансовый 2 2 3 2 5 4 2" xfId="5901" xr:uid="{3E2EA4B5-0D24-48E1-9527-91DFF2D7ACF2}"/>
    <cellStyle name="Финансовый 2 2 3 2 5 5" xfId="3718" xr:uid="{3E2EA4B5-0D24-48E1-9527-91DFF2D7ACF2}"/>
    <cellStyle name="Финансовый 2 2 3 2 6" xfId="932" xr:uid="{3E2EA4B5-0D24-48E1-9527-91DFF2D7ACF2}"/>
    <cellStyle name="Финансовый 2 2 3 2 6 2" xfId="1977" xr:uid="{3E2EA4B5-0D24-48E1-9527-91DFF2D7ACF2}"/>
    <cellStyle name="Финансовый 2 2 3 2 6 2 2" xfId="4971" xr:uid="{3E2EA4B5-0D24-48E1-9527-91DFF2D7ACF2}"/>
    <cellStyle name="Финансовый 2 2 3 2 6 3" xfId="2677" xr:uid="{3E2EA4B5-0D24-48E1-9527-91DFF2D7ACF2}"/>
    <cellStyle name="Финансовый 2 2 3 2 6 3 2" xfId="5671" xr:uid="{3E2EA4B5-0D24-48E1-9527-91DFF2D7ACF2}"/>
    <cellStyle name="Финансовый 2 2 3 2 6 4" xfId="3927" xr:uid="{3E2EA4B5-0D24-48E1-9527-91DFF2D7ACF2}"/>
    <cellStyle name="Финансовый 2 2 3 2 7" xfId="1286" xr:uid="{3E2EA4B5-0D24-48E1-9527-91DFF2D7ACF2}"/>
    <cellStyle name="Финансовый 2 2 3 2 7 2" xfId="2145" xr:uid="{3E2EA4B5-0D24-48E1-9527-91DFF2D7ACF2}"/>
    <cellStyle name="Финансовый 2 2 3 2 7 2 2" xfId="5139" xr:uid="{3E2EA4B5-0D24-48E1-9527-91DFF2D7ACF2}"/>
    <cellStyle name="Финансовый 2 2 3 2 7 3" xfId="4281" xr:uid="{3E2EA4B5-0D24-48E1-9527-91DFF2D7ACF2}"/>
    <cellStyle name="Финансовый 2 2 3 2 8" xfId="1706" xr:uid="{3E2EA4B5-0D24-48E1-9527-91DFF2D7ACF2}"/>
    <cellStyle name="Финансовый 2 2 3 2 8 2" xfId="4701" xr:uid="{3E2EA4B5-0D24-48E1-9527-91DFF2D7ACF2}"/>
    <cellStyle name="Финансовый 2 2 3 2 9" xfId="2572" xr:uid="{3E2EA4B5-0D24-48E1-9527-91DFF2D7ACF2}"/>
    <cellStyle name="Финансовый 2 2 3 2 9 2" xfId="5566" xr:uid="{3E2EA4B5-0D24-48E1-9527-91DFF2D7ACF2}"/>
    <cellStyle name="Финансовый 2 2 3 3" xfId="501" xr:uid="{3E2EA4B5-0D24-48E1-9527-91DFF2D7ACF2}"/>
    <cellStyle name="Финансовый 2 2 3 3 2" xfId="841" xr:uid="{3E2EA4B5-0D24-48E1-9527-91DFF2D7ACF2}"/>
    <cellStyle name="Финансовый 2 2 3 3 2 2" xfId="1195" xr:uid="{3E2EA4B5-0D24-48E1-9527-91DFF2D7ACF2}"/>
    <cellStyle name="Финансовый 2 2 3 3 2 2 2" xfId="2075" xr:uid="{3E2EA4B5-0D24-48E1-9527-91DFF2D7ACF2}"/>
    <cellStyle name="Финансовый 2 2 3 3 2 2 2 2" xfId="5069" xr:uid="{3E2EA4B5-0D24-48E1-9527-91DFF2D7ACF2}"/>
    <cellStyle name="Финансовый 2 2 3 3 2 2 3" xfId="4190" xr:uid="{3E2EA4B5-0D24-48E1-9527-91DFF2D7ACF2}"/>
    <cellStyle name="Финансовый 2 2 3 3 2 3" xfId="1635" xr:uid="{3E2EA4B5-0D24-48E1-9527-91DFF2D7ACF2}"/>
    <cellStyle name="Финансовый 2 2 3 3 2 3 2" xfId="2335" xr:uid="{3E2EA4B5-0D24-48E1-9527-91DFF2D7ACF2}"/>
    <cellStyle name="Финансовый 2 2 3 3 2 3 2 2" xfId="5329" xr:uid="{3E2EA4B5-0D24-48E1-9527-91DFF2D7ACF2}"/>
    <cellStyle name="Финансовый 2 2 3 3 2 3 3" xfId="4630" xr:uid="{3E2EA4B5-0D24-48E1-9527-91DFF2D7ACF2}"/>
    <cellStyle name="Финансовый 2 2 3 3 2 4" xfId="1896" xr:uid="{3E2EA4B5-0D24-48E1-9527-91DFF2D7ACF2}"/>
    <cellStyle name="Финансовый 2 2 3 3 2 4 2" xfId="4891" xr:uid="{3E2EA4B5-0D24-48E1-9527-91DFF2D7ACF2}"/>
    <cellStyle name="Финансовый 2 2 3 3 2 5" xfId="3026" xr:uid="{3E2EA4B5-0D24-48E1-9527-91DFF2D7ACF2}"/>
    <cellStyle name="Финансовый 2 2 3 3 2 5 2" xfId="6020" xr:uid="{3E2EA4B5-0D24-48E1-9527-91DFF2D7ACF2}"/>
    <cellStyle name="Финансовый 2 2 3 3 2 6" xfId="3837" xr:uid="{3E2EA4B5-0D24-48E1-9527-91DFF2D7ACF2}"/>
    <cellStyle name="Финансовый 2 2 3 3 3" xfId="735" xr:uid="{3E2EA4B5-0D24-48E1-9527-91DFF2D7ACF2}"/>
    <cellStyle name="Финансовый 2 2 3 3 3 2" xfId="1530" xr:uid="{3E2EA4B5-0D24-48E1-9527-91DFF2D7ACF2}"/>
    <cellStyle name="Финансовый 2 2 3 3 3 2 2" xfId="2251" xr:uid="{3E2EA4B5-0D24-48E1-9527-91DFF2D7ACF2}"/>
    <cellStyle name="Финансовый 2 2 3 3 3 2 2 2" xfId="5245" xr:uid="{3E2EA4B5-0D24-48E1-9527-91DFF2D7ACF2}"/>
    <cellStyle name="Финансовый 2 2 3 3 3 2 3" xfId="4525" xr:uid="{3E2EA4B5-0D24-48E1-9527-91DFF2D7ACF2}"/>
    <cellStyle name="Финансовый 2 2 3 3 3 3" xfId="1812" xr:uid="{3E2EA4B5-0D24-48E1-9527-91DFF2D7ACF2}"/>
    <cellStyle name="Финансовый 2 2 3 3 3 3 2" xfId="4807" xr:uid="{3E2EA4B5-0D24-48E1-9527-91DFF2D7ACF2}"/>
    <cellStyle name="Финансовый 2 2 3 3 3 4" xfId="2921" xr:uid="{3E2EA4B5-0D24-48E1-9527-91DFF2D7ACF2}"/>
    <cellStyle name="Финансовый 2 2 3 3 3 4 2" xfId="5915" xr:uid="{3E2EA4B5-0D24-48E1-9527-91DFF2D7ACF2}"/>
    <cellStyle name="Финансовый 2 2 3 3 3 5" xfId="3732" xr:uid="{3E2EA4B5-0D24-48E1-9527-91DFF2D7ACF2}"/>
    <cellStyle name="Финансовый 2 2 3 3 4" xfId="898" xr:uid="{3E2EA4B5-0D24-48E1-9527-91DFF2D7ACF2}"/>
    <cellStyle name="Финансовый 2 2 3 3 4 2" xfId="1949" xr:uid="{3E2EA4B5-0D24-48E1-9527-91DFF2D7ACF2}"/>
    <cellStyle name="Финансовый 2 2 3 3 4 2 2" xfId="4944" xr:uid="{3E2EA4B5-0D24-48E1-9527-91DFF2D7ACF2}"/>
    <cellStyle name="Финансовый 2 2 3 3 4 3" xfId="2691" xr:uid="{3E2EA4B5-0D24-48E1-9527-91DFF2D7ACF2}"/>
    <cellStyle name="Финансовый 2 2 3 3 4 3 2" xfId="5685" xr:uid="{3E2EA4B5-0D24-48E1-9527-91DFF2D7ACF2}"/>
    <cellStyle name="Финансовый 2 2 3 3 4 4" xfId="3894" xr:uid="{3E2EA4B5-0D24-48E1-9527-91DFF2D7ACF2}"/>
    <cellStyle name="Финансовый 2 2 3 3 5" xfId="1300" xr:uid="{3E2EA4B5-0D24-48E1-9527-91DFF2D7ACF2}"/>
    <cellStyle name="Финансовый 2 2 3 3 5 2" xfId="2159" xr:uid="{3E2EA4B5-0D24-48E1-9527-91DFF2D7ACF2}"/>
    <cellStyle name="Финансовый 2 2 3 3 5 2 2" xfId="5153" xr:uid="{3E2EA4B5-0D24-48E1-9527-91DFF2D7ACF2}"/>
    <cellStyle name="Финансовый 2 2 3 3 5 3" xfId="4295" xr:uid="{3E2EA4B5-0D24-48E1-9527-91DFF2D7ACF2}"/>
    <cellStyle name="Финансовый 2 2 3 3 6" xfId="1720" xr:uid="{3E2EA4B5-0D24-48E1-9527-91DFF2D7ACF2}"/>
    <cellStyle name="Финансовый 2 2 3 3 6 2" xfId="4715" xr:uid="{3E2EA4B5-0D24-48E1-9527-91DFF2D7ACF2}"/>
    <cellStyle name="Финансовый 2 2 3 3 7" xfId="2586" xr:uid="{3E2EA4B5-0D24-48E1-9527-91DFF2D7ACF2}"/>
    <cellStyle name="Финансовый 2 2 3 3 7 2" xfId="5580" xr:uid="{3E2EA4B5-0D24-48E1-9527-91DFF2D7ACF2}"/>
    <cellStyle name="Финансовый 2 2 3 3 8" xfId="3502" xr:uid="{3E2EA4B5-0D24-48E1-9527-91DFF2D7ACF2}"/>
    <cellStyle name="Финансовый 2 2 3 4" xfId="531" xr:uid="{3E2EA4B5-0D24-48E1-9527-91DFF2D7ACF2}"/>
    <cellStyle name="Финансовый 2 2 3 4 2" xfId="869" xr:uid="{3E2EA4B5-0D24-48E1-9527-91DFF2D7ACF2}"/>
    <cellStyle name="Финансовый 2 2 3 4 2 2" xfId="1223" xr:uid="{3E2EA4B5-0D24-48E1-9527-91DFF2D7ACF2}"/>
    <cellStyle name="Финансовый 2 2 3 4 2 2 2" xfId="2103" xr:uid="{3E2EA4B5-0D24-48E1-9527-91DFF2D7ACF2}"/>
    <cellStyle name="Финансовый 2 2 3 4 2 2 2 2" xfId="5097" xr:uid="{3E2EA4B5-0D24-48E1-9527-91DFF2D7ACF2}"/>
    <cellStyle name="Финансовый 2 2 3 4 2 2 3" xfId="4218" xr:uid="{3E2EA4B5-0D24-48E1-9527-91DFF2D7ACF2}"/>
    <cellStyle name="Финансовый 2 2 3 4 2 3" xfId="1663" xr:uid="{3E2EA4B5-0D24-48E1-9527-91DFF2D7ACF2}"/>
    <cellStyle name="Финансовый 2 2 3 4 2 3 2" xfId="2363" xr:uid="{3E2EA4B5-0D24-48E1-9527-91DFF2D7ACF2}"/>
    <cellStyle name="Финансовый 2 2 3 4 2 3 2 2" xfId="5357" xr:uid="{3E2EA4B5-0D24-48E1-9527-91DFF2D7ACF2}"/>
    <cellStyle name="Финансовый 2 2 3 4 2 3 3" xfId="4658" xr:uid="{3E2EA4B5-0D24-48E1-9527-91DFF2D7ACF2}"/>
    <cellStyle name="Финансовый 2 2 3 4 2 4" xfId="1924" xr:uid="{3E2EA4B5-0D24-48E1-9527-91DFF2D7ACF2}"/>
    <cellStyle name="Финансовый 2 2 3 4 2 4 2" xfId="4919" xr:uid="{3E2EA4B5-0D24-48E1-9527-91DFF2D7ACF2}"/>
    <cellStyle name="Финансовый 2 2 3 4 2 5" xfId="3054" xr:uid="{3E2EA4B5-0D24-48E1-9527-91DFF2D7ACF2}"/>
    <cellStyle name="Финансовый 2 2 3 4 2 5 2" xfId="6048" xr:uid="{3E2EA4B5-0D24-48E1-9527-91DFF2D7ACF2}"/>
    <cellStyle name="Финансовый 2 2 3 4 2 6" xfId="3865" xr:uid="{3E2EA4B5-0D24-48E1-9527-91DFF2D7ACF2}"/>
    <cellStyle name="Финансовый 2 2 3 4 3" xfId="764" xr:uid="{3E2EA4B5-0D24-48E1-9527-91DFF2D7ACF2}"/>
    <cellStyle name="Финансовый 2 2 3 4 3 2" xfId="1558" xr:uid="{3E2EA4B5-0D24-48E1-9527-91DFF2D7ACF2}"/>
    <cellStyle name="Финансовый 2 2 3 4 3 2 2" xfId="2279" xr:uid="{3E2EA4B5-0D24-48E1-9527-91DFF2D7ACF2}"/>
    <cellStyle name="Финансовый 2 2 3 4 3 2 2 2" xfId="5273" xr:uid="{3E2EA4B5-0D24-48E1-9527-91DFF2D7ACF2}"/>
    <cellStyle name="Финансовый 2 2 3 4 3 2 3" xfId="4553" xr:uid="{3E2EA4B5-0D24-48E1-9527-91DFF2D7ACF2}"/>
    <cellStyle name="Финансовый 2 2 3 4 3 3" xfId="1840" xr:uid="{3E2EA4B5-0D24-48E1-9527-91DFF2D7ACF2}"/>
    <cellStyle name="Финансовый 2 2 3 4 3 3 2" xfId="4835" xr:uid="{3E2EA4B5-0D24-48E1-9527-91DFF2D7ACF2}"/>
    <cellStyle name="Финансовый 2 2 3 4 3 4" xfId="2949" xr:uid="{3E2EA4B5-0D24-48E1-9527-91DFF2D7ACF2}"/>
    <cellStyle name="Финансовый 2 2 3 4 3 4 2" xfId="5943" xr:uid="{3E2EA4B5-0D24-48E1-9527-91DFF2D7ACF2}"/>
    <cellStyle name="Финансовый 2 2 3 4 3 5" xfId="3760" xr:uid="{3E2EA4B5-0D24-48E1-9527-91DFF2D7ACF2}"/>
    <cellStyle name="Финансовый 2 2 3 4 4" xfId="974" xr:uid="{3E2EA4B5-0D24-48E1-9527-91DFF2D7ACF2}"/>
    <cellStyle name="Финансовый 2 2 3 4 4 2" xfId="2009" xr:uid="{3E2EA4B5-0D24-48E1-9527-91DFF2D7ACF2}"/>
    <cellStyle name="Финансовый 2 2 3 4 4 2 2" xfId="5003" xr:uid="{3E2EA4B5-0D24-48E1-9527-91DFF2D7ACF2}"/>
    <cellStyle name="Финансовый 2 2 3 4 4 3" xfId="2719" xr:uid="{3E2EA4B5-0D24-48E1-9527-91DFF2D7ACF2}"/>
    <cellStyle name="Финансовый 2 2 3 4 4 3 2" xfId="5713" xr:uid="{3E2EA4B5-0D24-48E1-9527-91DFF2D7ACF2}"/>
    <cellStyle name="Финансовый 2 2 3 4 4 4" xfId="3969" xr:uid="{3E2EA4B5-0D24-48E1-9527-91DFF2D7ACF2}"/>
    <cellStyle name="Финансовый 2 2 3 4 5" xfId="1328" xr:uid="{3E2EA4B5-0D24-48E1-9527-91DFF2D7ACF2}"/>
    <cellStyle name="Финансовый 2 2 3 4 5 2" xfId="2187" xr:uid="{3E2EA4B5-0D24-48E1-9527-91DFF2D7ACF2}"/>
    <cellStyle name="Финансовый 2 2 3 4 5 2 2" xfId="5181" xr:uid="{3E2EA4B5-0D24-48E1-9527-91DFF2D7ACF2}"/>
    <cellStyle name="Финансовый 2 2 3 4 5 3" xfId="4323" xr:uid="{3E2EA4B5-0D24-48E1-9527-91DFF2D7ACF2}"/>
    <cellStyle name="Финансовый 2 2 3 4 6" xfId="1748" xr:uid="{3E2EA4B5-0D24-48E1-9527-91DFF2D7ACF2}"/>
    <cellStyle name="Финансовый 2 2 3 4 6 2" xfId="4743" xr:uid="{3E2EA4B5-0D24-48E1-9527-91DFF2D7ACF2}"/>
    <cellStyle name="Финансовый 2 2 3 4 7" xfId="2614" xr:uid="{3E2EA4B5-0D24-48E1-9527-91DFF2D7ACF2}"/>
    <cellStyle name="Финансовый 2 2 3 4 7 2" xfId="5608" xr:uid="{3E2EA4B5-0D24-48E1-9527-91DFF2D7ACF2}"/>
    <cellStyle name="Финансовый 2 2 3 4 8" xfId="3530" xr:uid="{3E2EA4B5-0D24-48E1-9527-91DFF2D7ACF2}"/>
    <cellStyle name="Финансовый 2 2 3 5" xfId="813" xr:uid="{3E2EA4B5-0D24-48E1-9527-91DFF2D7ACF2}"/>
    <cellStyle name="Финансовый 2 2 3 5 2" xfId="1167" xr:uid="{3E2EA4B5-0D24-48E1-9527-91DFF2D7ACF2}"/>
    <cellStyle name="Финансовый 2 2 3 5 2 2" xfId="2047" xr:uid="{3E2EA4B5-0D24-48E1-9527-91DFF2D7ACF2}"/>
    <cellStyle name="Финансовый 2 2 3 5 2 2 2" xfId="5041" xr:uid="{3E2EA4B5-0D24-48E1-9527-91DFF2D7ACF2}"/>
    <cellStyle name="Финансовый 2 2 3 5 2 3" xfId="4162" xr:uid="{3E2EA4B5-0D24-48E1-9527-91DFF2D7ACF2}"/>
    <cellStyle name="Финансовый 2 2 3 5 3" xfId="1607" xr:uid="{3E2EA4B5-0D24-48E1-9527-91DFF2D7ACF2}"/>
    <cellStyle name="Финансовый 2 2 3 5 3 2" xfId="2307" xr:uid="{3E2EA4B5-0D24-48E1-9527-91DFF2D7ACF2}"/>
    <cellStyle name="Финансовый 2 2 3 5 3 2 2" xfId="5301" xr:uid="{3E2EA4B5-0D24-48E1-9527-91DFF2D7ACF2}"/>
    <cellStyle name="Финансовый 2 2 3 5 3 3" xfId="4602" xr:uid="{3E2EA4B5-0D24-48E1-9527-91DFF2D7ACF2}"/>
    <cellStyle name="Финансовый 2 2 3 5 4" xfId="1868" xr:uid="{3E2EA4B5-0D24-48E1-9527-91DFF2D7ACF2}"/>
    <cellStyle name="Финансовый 2 2 3 5 4 2" xfId="4863" xr:uid="{3E2EA4B5-0D24-48E1-9527-91DFF2D7ACF2}"/>
    <cellStyle name="Финансовый 2 2 3 5 5" xfId="2998" xr:uid="{3E2EA4B5-0D24-48E1-9527-91DFF2D7ACF2}"/>
    <cellStyle name="Финансовый 2 2 3 5 5 2" xfId="5992" xr:uid="{3E2EA4B5-0D24-48E1-9527-91DFF2D7ACF2}"/>
    <cellStyle name="Финансовый 2 2 3 5 6" xfId="3809" xr:uid="{3E2EA4B5-0D24-48E1-9527-91DFF2D7ACF2}"/>
    <cellStyle name="Финансовый 2 2 3 6" xfId="707" xr:uid="{3E2EA4B5-0D24-48E1-9527-91DFF2D7ACF2}"/>
    <cellStyle name="Финансовый 2 2 3 6 2" xfId="1502" xr:uid="{3E2EA4B5-0D24-48E1-9527-91DFF2D7ACF2}"/>
    <cellStyle name="Финансовый 2 2 3 6 2 2" xfId="2223" xr:uid="{3E2EA4B5-0D24-48E1-9527-91DFF2D7ACF2}"/>
    <cellStyle name="Финансовый 2 2 3 6 2 2 2" xfId="5217" xr:uid="{3E2EA4B5-0D24-48E1-9527-91DFF2D7ACF2}"/>
    <cellStyle name="Финансовый 2 2 3 6 2 3" xfId="4497" xr:uid="{3E2EA4B5-0D24-48E1-9527-91DFF2D7ACF2}"/>
    <cellStyle name="Финансовый 2 2 3 6 3" xfId="1784" xr:uid="{3E2EA4B5-0D24-48E1-9527-91DFF2D7ACF2}"/>
    <cellStyle name="Финансовый 2 2 3 6 3 2" xfId="4779" xr:uid="{3E2EA4B5-0D24-48E1-9527-91DFF2D7ACF2}"/>
    <cellStyle name="Финансовый 2 2 3 6 4" xfId="2893" xr:uid="{3E2EA4B5-0D24-48E1-9527-91DFF2D7ACF2}"/>
    <cellStyle name="Финансовый 2 2 3 6 4 2" xfId="5887" xr:uid="{3E2EA4B5-0D24-48E1-9527-91DFF2D7ACF2}"/>
    <cellStyle name="Финансовый 2 2 3 6 5" xfId="3704" xr:uid="{3E2EA4B5-0D24-48E1-9527-91DFF2D7ACF2}"/>
    <cellStyle name="Финансовый 2 2 3 7" xfId="925" xr:uid="{3E2EA4B5-0D24-48E1-9527-91DFF2D7ACF2}"/>
    <cellStyle name="Финансовый 2 2 3 7 2" xfId="1972" xr:uid="{3E2EA4B5-0D24-48E1-9527-91DFF2D7ACF2}"/>
    <cellStyle name="Финансовый 2 2 3 7 2 2" xfId="4966" xr:uid="{3E2EA4B5-0D24-48E1-9527-91DFF2D7ACF2}"/>
    <cellStyle name="Финансовый 2 2 3 7 3" xfId="2663" xr:uid="{3E2EA4B5-0D24-48E1-9527-91DFF2D7ACF2}"/>
    <cellStyle name="Финансовый 2 2 3 7 3 2" xfId="5657" xr:uid="{3E2EA4B5-0D24-48E1-9527-91DFF2D7ACF2}"/>
    <cellStyle name="Финансовый 2 2 3 7 4" xfId="3920" xr:uid="{3E2EA4B5-0D24-48E1-9527-91DFF2D7ACF2}"/>
    <cellStyle name="Финансовый 2 2 3 8" xfId="1272" xr:uid="{3E2EA4B5-0D24-48E1-9527-91DFF2D7ACF2}"/>
    <cellStyle name="Финансовый 2 2 3 8 2" xfId="2131" xr:uid="{3E2EA4B5-0D24-48E1-9527-91DFF2D7ACF2}"/>
    <cellStyle name="Финансовый 2 2 3 8 2 2" xfId="5125" xr:uid="{3E2EA4B5-0D24-48E1-9527-91DFF2D7ACF2}"/>
    <cellStyle name="Финансовый 2 2 3 8 3" xfId="4267" xr:uid="{3E2EA4B5-0D24-48E1-9527-91DFF2D7ACF2}"/>
    <cellStyle name="Финансовый 2 2 3 9" xfId="1692" xr:uid="{3E2EA4B5-0D24-48E1-9527-91DFF2D7ACF2}"/>
    <cellStyle name="Финансовый 2 2 3 9 2" xfId="4687" xr:uid="{3E2EA4B5-0D24-48E1-9527-91DFF2D7ACF2}"/>
    <cellStyle name="Финансовый 2 2 4" xfId="480" xr:uid="{3E2EA4B5-0D24-48E1-9527-91DFF2D7ACF2}"/>
    <cellStyle name="Финансовый 2 2 4 10" xfId="3481" xr:uid="{3E2EA4B5-0D24-48E1-9527-91DFF2D7ACF2}"/>
    <cellStyle name="Финансовый 2 2 4 2" xfId="510" xr:uid="{3E2EA4B5-0D24-48E1-9527-91DFF2D7ACF2}"/>
    <cellStyle name="Финансовый 2 2 4 2 2" xfId="848" xr:uid="{3E2EA4B5-0D24-48E1-9527-91DFF2D7ACF2}"/>
    <cellStyle name="Финансовый 2 2 4 2 2 2" xfId="1202" xr:uid="{3E2EA4B5-0D24-48E1-9527-91DFF2D7ACF2}"/>
    <cellStyle name="Финансовый 2 2 4 2 2 2 2" xfId="2082" xr:uid="{3E2EA4B5-0D24-48E1-9527-91DFF2D7ACF2}"/>
    <cellStyle name="Финансовый 2 2 4 2 2 2 2 2" xfId="5076" xr:uid="{3E2EA4B5-0D24-48E1-9527-91DFF2D7ACF2}"/>
    <cellStyle name="Финансовый 2 2 4 2 2 2 3" xfId="4197" xr:uid="{3E2EA4B5-0D24-48E1-9527-91DFF2D7ACF2}"/>
    <cellStyle name="Финансовый 2 2 4 2 2 3" xfId="1642" xr:uid="{3E2EA4B5-0D24-48E1-9527-91DFF2D7ACF2}"/>
    <cellStyle name="Финансовый 2 2 4 2 2 3 2" xfId="2342" xr:uid="{3E2EA4B5-0D24-48E1-9527-91DFF2D7ACF2}"/>
    <cellStyle name="Финансовый 2 2 4 2 2 3 2 2" xfId="5336" xr:uid="{3E2EA4B5-0D24-48E1-9527-91DFF2D7ACF2}"/>
    <cellStyle name="Финансовый 2 2 4 2 2 3 3" xfId="4637" xr:uid="{3E2EA4B5-0D24-48E1-9527-91DFF2D7ACF2}"/>
    <cellStyle name="Финансовый 2 2 4 2 2 4" xfId="1903" xr:uid="{3E2EA4B5-0D24-48E1-9527-91DFF2D7ACF2}"/>
    <cellStyle name="Финансовый 2 2 4 2 2 4 2" xfId="4898" xr:uid="{3E2EA4B5-0D24-48E1-9527-91DFF2D7ACF2}"/>
    <cellStyle name="Финансовый 2 2 4 2 2 5" xfId="3033" xr:uid="{3E2EA4B5-0D24-48E1-9527-91DFF2D7ACF2}"/>
    <cellStyle name="Финансовый 2 2 4 2 2 5 2" xfId="6027" xr:uid="{3E2EA4B5-0D24-48E1-9527-91DFF2D7ACF2}"/>
    <cellStyle name="Финансовый 2 2 4 2 2 6" xfId="3844" xr:uid="{3E2EA4B5-0D24-48E1-9527-91DFF2D7ACF2}"/>
    <cellStyle name="Финансовый 2 2 4 2 3" xfId="743" xr:uid="{3E2EA4B5-0D24-48E1-9527-91DFF2D7ACF2}"/>
    <cellStyle name="Финансовый 2 2 4 2 3 2" xfId="1537" xr:uid="{3E2EA4B5-0D24-48E1-9527-91DFF2D7ACF2}"/>
    <cellStyle name="Финансовый 2 2 4 2 3 2 2" xfId="2258" xr:uid="{3E2EA4B5-0D24-48E1-9527-91DFF2D7ACF2}"/>
    <cellStyle name="Финансовый 2 2 4 2 3 2 2 2" xfId="5252" xr:uid="{3E2EA4B5-0D24-48E1-9527-91DFF2D7ACF2}"/>
    <cellStyle name="Финансовый 2 2 4 2 3 2 3" xfId="4532" xr:uid="{3E2EA4B5-0D24-48E1-9527-91DFF2D7ACF2}"/>
    <cellStyle name="Финансовый 2 2 4 2 3 3" xfId="1819" xr:uid="{3E2EA4B5-0D24-48E1-9527-91DFF2D7ACF2}"/>
    <cellStyle name="Финансовый 2 2 4 2 3 3 2" xfId="4814" xr:uid="{3E2EA4B5-0D24-48E1-9527-91DFF2D7ACF2}"/>
    <cellStyle name="Финансовый 2 2 4 2 3 4" xfId="2928" xr:uid="{3E2EA4B5-0D24-48E1-9527-91DFF2D7ACF2}"/>
    <cellStyle name="Финансовый 2 2 4 2 3 4 2" xfId="5922" xr:uid="{3E2EA4B5-0D24-48E1-9527-91DFF2D7ACF2}"/>
    <cellStyle name="Финансовый 2 2 4 2 3 5" xfId="3739" xr:uid="{3E2EA4B5-0D24-48E1-9527-91DFF2D7ACF2}"/>
    <cellStyle name="Финансовый 2 2 4 2 4" xfId="917" xr:uid="{3E2EA4B5-0D24-48E1-9527-91DFF2D7ACF2}"/>
    <cellStyle name="Финансовый 2 2 4 2 4 2" xfId="1964" xr:uid="{3E2EA4B5-0D24-48E1-9527-91DFF2D7ACF2}"/>
    <cellStyle name="Финансовый 2 2 4 2 4 2 2" xfId="4958" xr:uid="{3E2EA4B5-0D24-48E1-9527-91DFF2D7ACF2}"/>
    <cellStyle name="Финансовый 2 2 4 2 4 3" xfId="2698" xr:uid="{3E2EA4B5-0D24-48E1-9527-91DFF2D7ACF2}"/>
    <cellStyle name="Финансовый 2 2 4 2 4 3 2" xfId="5692" xr:uid="{3E2EA4B5-0D24-48E1-9527-91DFF2D7ACF2}"/>
    <cellStyle name="Финансовый 2 2 4 2 4 4" xfId="3912" xr:uid="{3E2EA4B5-0D24-48E1-9527-91DFF2D7ACF2}"/>
    <cellStyle name="Финансовый 2 2 4 2 5" xfId="1307" xr:uid="{3E2EA4B5-0D24-48E1-9527-91DFF2D7ACF2}"/>
    <cellStyle name="Финансовый 2 2 4 2 5 2" xfId="2166" xr:uid="{3E2EA4B5-0D24-48E1-9527-91DFF2D7ACF2}"/>
    <cellStyle name="Финансовый 2 2 4 2 5 2 2" xfId="5160" xr:uid="{3E2EA4B5-0D24-48E1-9527-91DFF2D7ACF2}"/>
    <cellStyle name="Финансовый 2 2 4 2 5 3" xfId="4302" xr:uid="{3E2EA4B5-0D24-48E1-9527-91DFF2D7ACF2}"/>
    <cellStyle name="Финансовый 2 2 4 2 6" xfId="1727" xr:uid="{3E2EA4B5-0D24-48E1-9527-91DFF2D7ACF2}"/>
    <cellStyle name="Финансовый 2 2 4 2 6 2" xfId="4722" xr:uid="{3E2EA4B5-0D24-48E1-9527-91DFF2D7ACF2}"/>
    <cellStyle name="Финансовый 2 2 4 2 7" xfId="2593" xr:uid="{3E2EA4B5-0D24-48E1-9527-91DFF2D7ACF2}"/>
    <cellStyle name="Финансовый 2 2 4 2 7 2" xfId="5587" xr:uid="{3E2EA4B5-0D24-48E1-9527-91DFF2D7ACF2}"/>
    <cellStyle name="Финансовый 2 2 4 2 8" xfId="3509" xr:uid="{3E2EA4B5-0D24-48E1-9527-91DFF2D7ACF2}"/>
    <cellStyle name="Финансовый 2 2 4 3" xfId="538" xr:uid="{3E2EA4B5-0D24-48E1-9527-91DFF2D7ACF2}"/>
    <cellStyle name="Финансовый 2 2 4 3 2" xfId="876" xr:uid="{3E2EA4B5-0D24-48E1-9527-91DFF2D7ACF2}"/>
    <cellStyle name="Финансовый 2 2 4 3 2 2" xfId="1230" xr:uid="{3E2EA4B5-0D24-48E1-9527-91DFF2D7ACF2}"/>
    <cellStyle name="Финансовый 2 2 4 3 2 2 2" xfId="2110" xr:uid="{3E2EA4B5-0D24-48E1-9527-91DFF2D7ACF2}"/>
    <cellStyle name="Финансовый 2 2 4 3 2 2 2 2" xfId="5104" xr:uid="{3E2EA4B5-0D24-48E1-9527-91DFF2D7ACF2}"/>
    <cellStyle name="Финансовый 2 2 4 3 2 2 3" xfId="4225" xr:uid="{3E2EA4B5-0D24-48E1-9527-91DFF2D7ACF2}"/>
    <cellStyle name="Финансовый 2 2 4 3 2 3" xfId="1670" xr:uid="{3E2EA4B5-0D24-48E1-9527-91DFF2D7ACF2}"/>
    <cellStyle name="Финансовый 2 2 4 3 2 3 2" xfId="2370" xr:uid="{3E2EA4B5-0D24-48E1-9527-91DFF2D7ACF2}"/>
    <cellStyle name="Финансовый 2 2 4 3 2 3 2 2" xfId="5364" xr:uid="{3E2EA4B5-0D24-48E1-9527-91DFF2D7ACF2}"/>
    <cellStyle name="Финансовый 2 2 4 3 2 3 3" xfId="4665" xr:uid="{3E2EA4B5-0D24-48E1-9527-91DFF2D7ACF2}"/>
    <cellStyle name="Финансовый 2 2 4 3 2 4" xfId="1931" xr:uid="{3E2EA4B5-0D24-48E1-9527-91DFF2D7ACF2}"/>
    <cellStyle name="Финансовый 2 2 4 3 2 4 2" xfId="4926" xr:uid="{3E2EA4B5-0D24-48E1-9527-91DFF2D7ACF2}"/>
    <cellStyle name="Финансовый 2 2 4 3 2 5" xfId="3061" xr:uid="{3E2EA4B5-0D24-48E1-9527-91DFF2D7ACF2}"/>
    <cellStyle name="Финансовый 2 2 4 3 2 5 2" xfId="6055" xr:uid="{3E2EA4B5-0D24-48E1-9527-91DFF2D7ACF2}"/>
    <cellStyle name="Финансовый 2 2 4 3 2 6" xfId="3872" xr:uid="{3E2EA4B5-0D24-48E1-9527-91DFF2D7ACF2}"/>
    <cellStyle name="Финансовый 2 2 4 3 3" xfId="771" xr:uid="{3E2EA4B5-0D24-48E1-9527-91DFF2D7ACF2}"/>
    <cellStyle name="Финансовый 2 2 4 3 3 2" xfId="1565" xr:uid="{3E2EA4B5-0D24-48E1-9527-91DFF2D7ACF2}"/>
    <cellStyle name="Финансовый 2 2 4 3 3 2 2" xfId="2286" xr:uid="{3E2EA4B5-0D24-48E1-9527-91DFF2D7ACF2}"/>
    <cellStyle name="Финансовый 2 2 4 3 3 2 2 2" xfId="5280" xr:uid="{3E2EA4B5-0D24-48E1-9527-91DFF2D7ACF2}"/>
    <cellStyle name="Финансовый 2 2 4 3 3 2 3" xfId="4560" xr:uid="{3E2EA4B5-0D24-48E1-9527-91DFF2D7ACF2}"/>
    <cellStyle name="Финансовый 2 2 4 3 3 3" xfId="1847" xr:uid="{3E2EA4B5-0D24-48E1-9527-91DFF2D7ACF2}"/>
    <cellStyle name="Финансовый 2 2 4 3 3 3 2" xfId="4842" xr:uid="{3E2EA4B5-0D24-48E1-9527-91DFF2D7ACF2}"/>
    <cellStyle name="Финансовый 2 2 4 3 3 4" xfId="2956" xr:uid="{3E2EA4B5-0D24-48E1-9527-91DFF2D7ACF2}"/>
    <cellStyle name="Финансовый 2 2 4 3 3 4 2" xfId="5950" xr:uid="{3E2EA4B5-0D24-48E1-9527-91DFF2D7ACF2}"/>
    <cellStyle name="Финансовый 2 2 4 3 3 5" xfId="3767" xr:uid="{3E2EA4B5-0D24-48E1-9527-91DFF2D7ACF2}"/>
    <cellStyle name="Финансовый 2 2 4 3 4" xfId="981" xr:uid="{3E2EA4B5-0D24-48E1-9527-91DFF2D7ACF2}"/>
    <cellStyle name="Финансовый 2 2 4 3 4 2" xfId="2016" xr:uid="{3E2EA4B5-0D24-48E1-9527-91DFF2D7ACF2}"/>
    <cellStyle name="Финансовый 2 2 4 3 4 2 2" xfId="5010" xr:uid="{3E2EA4B5-0D24-48E1-9527-91DFF2D7ACF2}"/>
    <cellStyle name="Финансовый 2 2 4 3 4 3" xfId="2726" xr:uid="{3E2EA4B5-0D24-48E1-9527-91DFF2D7ACF2}"/>
    <cellStyle name="Финансовый 2 2 4 3 4 3 2" xfId="5720" xr:uid="{3E2EA4B5-0D24-48E1-9527-91DFF2D7ACF2}"/>
    <cellStyle name="Финансовый 2 2 4 3 4 4" xfId="3976" xr:uid="{3E2EA4B5-0D24-48E1-9527-91DFF2D7ACF2}"/>
    <cellStyle name="Финансовый 2 2 4 3 5" xfId="1335" xr:uid="{3E2EA4B5-0D24-48E1-9527-91DFF2D7ACF2}"/>
    <cellStyle name="Финансовый 2 2 4 3 5 2" xfId="2194" xr:uid="{3E2EA4B5-0D24-48E1-9527-91DFF2D7ACF2}"/>
    <cellStyle name="Финансовый 2 2 4 3 5 2 2" xfId="5188" xr:uid="{3E2EA4B5-0D24-48E1-9527-91DFF2D7ACF2}"/>
    <cellStyle name="Финансовый 2 2 4 3 5 3" xfId="4330" xr:uid="{3E2EA4B5-0D24-48E1-9527-91DFF2D7ACF2}"/>
    <cellStyle name="Финансовый 2 2 4 3 6" xfId="1755" xr:uid="{3E2EA4B5-0D24-48E1-9527-91DFF2D7ACF2}"/>
    <cellStyle name="Финансовый 2 2 4 3 6 2" xfId="4750" xr:uid="{3E2EA4B5-0D24-48E1-9527-91DFF2D7ACF2}"/>
    <cellStyle name="Финансовый 2 2 4 3 7" xfId="2621" xr:uid="{3E2EA4B5-0D24-48E1-9527-91DFF2D7ACF2}"/>
    <cellStyle name="Финансовый 2 2 4 3 7 2" xfId="5615" xr:uid="{3E2EA4B5-0D24-48E1-9527-91DFF2D7ACF2}"/>
    <cellStyle name="Финансовый 2 2 4 3 8" xfId="3537" xr:uid="{3E2EA4B5-0D24-48E1-9527-91DFF2D7ACF2}"/>
    <cellStyle name="Финансовый 2 2 4 4" xfId="820" xr:uid="{3E2EA4B5-0D24-48E1-9527-91DFF2D7ACF2}"/>
    <cellStyle name="Финансовый 2 2 4 4 2" xfId="1174" xr:uid="{3E2EA4B5-0D24-48E1-9527-91DFF2D7ACF2}"/>
    <cellStyle name="Финансовый 2 2 4 4 2 2" xfId="2054" xr:uid="{3E2EA4B5-0D24-48E1-9527-91DFF2D7ACF2}"/>
    <cellStyle name="Финансовый 2 2 4 4 2 2 2" xfId="5048" xr:uid="{3E2EA4B5-0D24-48E1-9527-91DFF2D7ACF2}"/>
    <cellStyle name="Финансовый 2 2 4 4 2 3" xfId="4169" xr:uid="{3E2EA4B5-0D24-48E1-9527-91DFF2D7ACF2}"/>
    <cellStyle name="Финансовый 2 2 4 4 3" xfId="1614" xr:uid="{3E2EA4B5-0D24-48E1-9527-91DFF2D7ACF2}"/>
    <cellStyle name="Финансовый 2 2 4 4 3 2" xfId="2314" xr:uid="{3E2EA4B5-0D24-48E1-9527-91DFF2D7ACF2}"/>
    <cellStyle name="Финансовый 2 2 4 4 3 2 2" xfId="5308" xr:uid="{3E2EA4B5-0D24-48E1-9527-91DFF2D7ACF2}"/>
    <cellStyle name="Финансовый 2 2 4 4 3 3" xfId="4609" xr:uid="{3E2EA4B5-0D24-48E1-9527-91DFF2D7ACF2}"/>
    <cellStyle name="Финансовый 2 2 4 4 4" xfId="1875" xr:uid="{3E2EA4B5-0D24-48E1-9527-91DFF2D7ACF2}"/>
    <cellStyle name="Финансовый 2 2 4 4 4 2" xfId="4870" xr:uid="{3E2EA4B5-0D24-48E1-9527-91DFF2D7ACF2}"/>
    <cellStyle name="Финансовый 2 2 4 4 5" xfId="3005" xr:uid="{3E2EA4B5-0D24-48E1-9527-91DFF2D7ACF2}"/>
    <cellStyle name="Финансовый 2 2 4 4 5 2" xfId="5999" xr:uid="{3E2EA4B5-0D24-48E1-9527-91DFF2D7ACF2}"/>
    <cellStyle name="Финансовый 2 2 4 4 6" xfId="3816" xr:uid="{3E2EA4B5-0D24-48E1-9527-91DFF2D7ACF2}"/>
    <cellStyle name="Финансовый 2 2 4 5" xfId="714" xr:uid="{3E2EA4B5-0D24-48E1-9527-91DFF2D7ACF2}"/>
    <cellStyle name="Финансовый 2 2 4 5 2" xfId="1509" xr:uid="{3E2EA4B5-0D24-48E1-9527-91DFF2D7ACF2}"/>
    <cellStyle name="Финансовый 2 2 4 5 2 2" xfId="2230" xr:uid="{3E2EA4B5-0D24-48E1-9527-91DFF2D7ACF2}"/>
    <cellStyle name="Финансовый 2 2 4 5 2 2 2" xfId="5224" xr:uid="{3E2EA4B5-0D24-48E1-9527-91DFF2D7ACF2}"/>
    <cellStyle name="Финансовый 2 2 4 5 2 3" xfId="4504" xr:uid="{3E2EA4B5-0D24-48E1-9527-91DFF2D7ACF2}"/>
    <cellStyle name="Финансовый 2 2 4 5 3" xfId="1791" xr:uid="{3E2EA4B5-0D24-48E1-9527-91DFF2D7ACF2}"/>
    <cellStyle name="Финансовый 2 2 4 5 3 2" xfId="4786" xr:uid="{3E2EA4B5-0D24-48E1-9527-91DFF2D7ACF2}"/>
    <cellStyle name="Финансовый 2 2 4 5 4" xfId="2900" xr:uid="{3E2EA4B5-0D24-48E1-9527-91DFF2D7ACF2}"/>
    <cellStyle name="Финансовый 2 2 4 5 4 2" xfId="5894" xr:uid="{3E2EA4B5-0D24-48E1-9527-91DFF2D7ACF2}"/>
    <cellStyle name="Финансовый 2 2 4 5 5" xfId="3711" xr:uid="{3E2EA4B5-0D24-48E1-9527-91DFF2D7ACF2}"/>
    <cellStyle name="Финансовый 2 2 4 6" xfId="923" xr:uid="{3E2EA4B5-0D24-48E1-9527-91DFF2D7ACF2}"/>
    <cellStyle name="Финансовый 2 2 4 6 2" xfId="1970" xr:uid="{3E2EA4B5-0D24-48E1-9527-91DFF2D7ACF2}"/>
    <cellStyle name="Финансовый 2 2 4 6 2 2" xfId="4964" xr:uid="{3E2EA4B5-0D24-48E1-9527-91DFF2D7ACF2}"/>
    <cellStyle name="Финансовый 2 2 4 6 3" xfId="2670" xr:uid="{3E2EA4B5-0D24-48E1-9527-91DFF2D7ACF2}"/>
    <cellStyle name="Финансовый 2 2 4 6 3 2" xfId="5664" xr:uid="{3E2EA4B5-0D24-48E1-9527-91DFF2D7ACF2}"/>
    <cellStyle name="Финансовый 2 2 4 6 4" xfId="3918" xr:uid="{3E2EA4B5-0D24-48E1-9527-91DFF2D7ACF2}"/>
    <cellStyle name="Финансовый 2 2 4 7" xfId="1279" xr:uid="{3E2EA4B5-0D24-48E1-9527-91DFF2D7ACF2}"/>
    <cellStyle name="Финансовый 2 2 4 7 2" xfId="2138" xr:uid="{3E2EA4B5-0D24-48E1-9527-91DFF2D7ACF2}"/>
    <cellStyle name="Финансовый 2 2 4 7 2 2" xfId="5132" xr:uid="{3E2EA4B5-0D24-48E1-9527-91DFF2D7ACF2}"/>
    <cellStyle name="Финансовый 2 2 4 7 3" xfId="4274" xr:uid="{3E2EA4B5-0D24-48E1-9527-91DFF2D7ACF2}"/>
    <cellStyle name="Финансовый 2 2 4 8" xfId="1699" xr:uid="{3E2EA4B5-0D24-48E1-9527-91DFF2D7ACF2}"/>
    <cellStyle name="Финансовый 2 2 4 8 2" xfId="4694" xr:uid="{3E2EA4B5-0D24-48E1-9527-91DFF2D7ACF2}"/>
    <cellStyle name="Финансовый 2 2 4 9" xfId="2565" xr:uid="{3E2EA4B5-0D24-48E1-9527-91DFF2D7ACF2}"/>
    <cellStyle name="Финансовый 2 2 4 9 2" xfId="5559" xr:uid="{3E2EA4B5-0D24-48E1-9527-91DFF2D7ACF2}"/>
    <cellStyle name="Финансовый 2 2 5" xfId="494" xr:uid="{3E2EA4B5-0D24-48E1-9527-91DFF2D7ACF2}"/>
    <cellStyle name="Финансовый 2 2 5 2" xfId="834" xr:uid="{3E2EA4B5-0D24-48E1-9527-91DFF2D7ACF2}"/>
    <cellStyle name="Финансовый 2 2 5 2 2" xfId="1188" xr:uid="{3E2EA4B5-0D24-48E1-9527-91DFF2D7ACF2}"/>
    <cellStyle name="Финансовый 2 2 5 2 2 2" xfId="2068" xr:uid="{3E2EA4B5-0D24-48E1-9527-91DFF2D7ACF2}"/>
    <cellStyle name="Финансовый 2 2 5 2 2 2 2" xfId="5062" xr:uid="{3E2EA4B5-0D24-48E1-9527-91DFF2D7ACF2}"/>
    <cellStyle name="Финансовый 2 2 5 2 2 3" xfId="4183" xr:uid="{3E2EA4B5-0D24-48E1-9527-91DFF2D7ACF2}"/>
    <cellStyle name="Финансовый 2 2 5 2 3" xfId="1628" xr:uid="{3E2EA4B5-0D24-48E1-9527-91DFF2D7ACF2}"/>
    <cellStyle name="Финансовый 2 2 5 2 3 2" xfId="2328" xr:uid="{3E2EA4B5-0D24-48E1-9527-91DFF2D7ACF2}"/>
    <cellStyle name="Финансовый 2 2 5 2 3 2 2" xfId="5322" xr:uid="{3E2EA4B5-0D24-48E1-9527-91DFF2D7ACF2}"/>
    <cellStyle name="Финансовый 2 2 5 2 3 3" xfId="4623" xr:uid="{3E2EA4B5-0D24-48E1-9527-91DFF2D7ACF2}"/>
    <cellStyle name="Финансовый 2 2 5 2 4" xfId="1889" xr:uid="{3E2EA4B5-0D24-48E1-9527-91DFF2D7ACF2}"/>
    <cellStyle name="Финансовый 2 2 5 2 4 2" xfId="4884" xr:uid="{3E2EA4B5-0D24-48E1-9527-91DFF2D7ACF2}"/>
    <cellStyle name="Финансовый 2 2 5 2 5" xfId="3019" xr:uid="{3E2EA4B5-0D24-48E1-9527-91DFF2D7ACF2}"/>
    <cellStyle name="Финансовый 2 2 5 2 5 2" xfId="6013" xr:uid="{3E2EA4B5-0D24-48E1-9527-91DFF2D7ACF2}"/>
    <cellStyle name="Финансовый 2 2 5 2 6" xfId="3830" xr:uid="{3E2EA4B5-0D24-48E1-9527-91DFF2D7ACF2}"/>
    <cellStyle name="Финансовый 2 2 5 3" xfId="728" xr:uid="{3E2EA4B5-0D24-48E1-9527-91DFF2D7ACF2}"/>
    <cellStyle name="Финансовый 2 2 5 3 2" xfId="1523" xr:uid="{3E2EA4B5-0D24-48E1-9527-91DFF2D7ACF2}"/>
    <cellStyle name="Финансовый 2 2 5 3 2 2" xfId="2244" xr:uid="{3E2EA4B5-0D24-48E1-9527-91DFF2D7ACF2}"/>
    <cellStyle name="Финансовый 2 2 5 3 2 2 2" xfId="5238" xr:uid="{3E2EA4B5-0D24-48E1-9527-91DFF2D7ACF2}"/>
    <cellStyle name="Финансовый 2 2 5 3 2 3" xfId="4518" xr:uid="{3E2EA4B5-0D24-48E1-9527-91DFF2D7ACF2}"/>
    <cellStyle name="Финансовый 2 2 5 3 3" xfId="1805" xr:uid="{3E2EA4B5-0D24-48E1-9527-91DFF2D7ACF2}"/>
    <cellStyle name="Финансовый 2 2 5 3 3 2" xfId="4800" xr:uid="{3E2EA4B5-0D24-48E1-9527-91DFF2D7ACF2}"/>
    <cellStyle name="Финансовый 2 2 5 3 4" xfId="2914" xr:uid="{3E2EA4B5-0D24-48E1-9527-91DFF2D7ACF2}"/>
    <cellStyle name="Финансовый 2 2 5 3 4 2" xfId="5908" xr:uid="{3E2EA4B5-0D24-48E1-9527-91DFF2D7ACF2}"/>
    <cellStyle name="Финансовый 2 2 5 3 5" xfId="3725" xr:uid="{3E2EA4B5-0D24-48E1-9527-91DFF2D7ACF2}"/>
    <cellStyle name="Финансовый 2 2 5 4" xfId="957" xr:uid="{3E2EA4B5-0D24-48E1-9527-91DFF2D7ACF2}"/>
    <cellStyle name="Финансовый 2 2 5 4 2" xfId="1995" xr:uid="{3E2EA4B5-0D24-48E1-9527-91DFF2D7ACF2}"/>
    <cellStyle name="Финансовый 2 2 5 4 2 2" xfId="4989" xr:uid="{3E2EA4B5-0D24-48E1-9527-91DFF2D7ACF2}"/>
    <cellStyle name="Финансовый 2 2 5 4 3" xfId="2684" xr:uid="{3E2EA4B5-0D24-48E1-9527-91DFF2D7ACF2}"/>
    <cellStyle name="Финансовый 2 2 5 4 3 2" xfId="5678" xr:uid="{3E2EA4B5-0D24-48E1-9527-91DFF2D7ACF2}"/>
    <cellStyle name="Финансовый 2 2 5 4 4" xfId="3952" xr:uid="{3E2EA4B5-0D24-48E1-9527-91DFF2D7ACF2}"/>
    <cellStyle name="Финансовый 2 2 5 5" xfId="1293" xr:uid="{3E2EA4B5-0D24-48E1-9527-91DFF2D7ACF2}"/>
    <cellStyle name="Финансовый 2 2 5 5 2" xfId="2152" xr:uid="{3E2EA4B5-0D24-48E1-9527-91DFF2D7ACF2}"/>
    <cellStyle name="Финансовый 2 2 5 5 2 2" xfId="5146" xr:uid="{3E2EA4B5-0D24-48E1-9527-91DFF2D7ACF2}"/>
    <cellStyle name="Финансовый 2 2 5 5 3" xfId="4288" xr:uid="{3E2EA4B5-0D24-48E1-9527-91DFF2D7ACF2}"/>
    <cellStyle name="Финансовый 2 2 5 6" xfId="1713" xr:uid="{3E2EA4B5-0D24-48E1-9527-91DFF2D7ACF2}"/>
    <cellStyle name="Финансовый 2 2 5 6 2" xfId="4708" xr:uid="{3E2EA4B5-0D24-48E1-9527-91DFF2D7ACF2}"/>
    <cellStyle name="Финансовый 2 2 5 7" xfId="2579" xr:uid="{3E2EA4B5-0D24-48E1-9527-91DFF2D7ACF2}"/>
    <cellStyle name="Финансовый 2 2 5 7 2" xfId="5573" xr:uid="{3E2EA4B5-0D24-48E1-9527-91DFF2D7ACF2}"/>
    <cellStyle name="Финансовый 2 2 5 8" xfId="3495" xr:uid="{3E2EA4B5-0D24-48E1-9527-91DFF2D7ACF2}"/>
    <cellStyle name="Финансовый 2 2 6" xfId="524" xr:uid="{3E2EA4B5-0D24-48E1-9527-91DFF2D7ACF2}"/>
    <cellStyle name="Финансовый 2 2 6 2" xfId="862" xr:uid="{3E2EA4B5-0D24-48E1-9527-91DFF2D7ACF2}"/>
    <cellStyle name="Финансовый 2 2 6 2 2" xfId="1216" xr:uid="{3E2EA4B5-0D24-48E1-9527-91DFF2D7ACF2}"/>
    <cellStyle name="Финансовый 2 2 6 2 2 2" xfId="2096" xr:uid="{3E2EA4B5-0D24-48E1-9527-91DFF2D7ACF2}"/>
    <cellStyle name="Финансовый 2 2 6 2 2 2 2" xfId="5090" xr:uid="{3E2EA4B5-0D24-48E1-9527-91DFF2D7ACF2}"/>
    <cellStyle name="Финансовый 2 2 6 2 2 3" xfId="4211" xr:uid="{3E2EA4B5-0D24-48E1-9527-91DFF2D7ACF2}"/>
    <cellStyle name="Финансовый 2 2 6 2 3" xfId="1656" xr:uid="{3E2EA4B5-0D24-48E1-9527-91DFF2D7ACF2}"/>
    <cellStyle name="Финансовый 2 2 6 2 3 2" xfId="2356" xr:uid="{3E2EA4B5-0D24-48E1-9527-91DFF2D7ACF2}"/>
    <cellStyle name="Финансовый 2 2 6 2 3 2 2" xfId="5350" xr:uid="{3E2EA4B5-0D24-48E1-9527-91DFF2D7ACF2}"/>
    <cellStyle name="Финансовый 2 2 6 2 3 3" xfId="4651" xr:uid="{3E2EA4B5-0D24-48E1-9527-91DFF2D7ACF2}"/>
    <cellStyle name="Финансовый 2 2 6 2 4" xfId="1917" xr:uid="{3E2EA4B5-0D24-48E1-9527-91DFF2D7ACF2}"/>
    <cellStyle name="Финансовый 2 2 6 2 4 2" xfId="4912" xr:uid="{3E2EA4B5-0D24-48E1-9527-91DFF2D7ACF2}"/>
    <cellStyle name="Финансовый 2 2 6 2 5" xfId="3047" xr:uid="{3E2EA4B5-0D24-48E1-9527-91DFF2D7ACF2}"/>
    <cellStyle name="Финансовый 2 2 6 2 5 2" xfId="6041" xr:uid="{3E2EA4B5-0D24-48E1-9527-91DFF2D7ACF2}"/>
    <cellStyle name="Финансовый 2 2 6 2 6" xfId="3858" xr:uid="{3E2EA4B5-0D24-48E1-9527-91DFF2D7ACF2}"/>
    <cellStyle name="Финансовый 2 2 6 3" xfId="757" xr:uid="{3E2EA4B5-0D24-48E1-9527-91DFF2D7ACF2}"/>
    <cellStyle name="Финансовый 2 2 6 3 2" xfId="1551" xr:uid="{3E2EA4B5-0D24-48E1-9527-91DFF2D7ACF2}"/>
    <cellStyle name="Финансовый 2 2 6 3 2 2" xfId="2272" xr:uid="{3E2EA4B5-0D24-48E1-9527-91DFF2D7ACF2}"/>
    <cellStyle name="Финансовый 2 2 6 3 2 2 2" xfId="5266" xr:uid="{3E2EA4B5-0D24-48E1-9527-91DFF2D7ACF2}"/>
    <cellStyle name="Финансовый 2 2 6 3 2 3" xfId="4546" xr:uid="{3E2EA4B5-0D24-48E1-9527-91DFF2D7ACF2}"/>
    <cellStyle name="Финансовый 2 2 6 3 3" xfId="1833" xr:uid="{3E2EA4B5-0D24-48E1-9527-91DFF2D7ACF2}"/>
    <cellStyle name="Финансовый 2 2 6 3 3 2" xfId="4828" xr:uid="{3E2EA4B5-0D24-48E1-9527-91DFF2D7ACF2}"/>
    <cellStyle name="Финансовый 2 2 6 3 4" xfId="2942" xr:uid="{3E2EA4B5-0D24-48E1-9527-91DFF2D7ACF2}"/>
    <cellStyle name="Финансовый 2 2 6 3 4 2" xfId="5936" xr:uid="{3E2EA4B5-0D24-48E1-9527-91DFF2D7ACF2}"/>
    <cellStyle name="Финансовый 2 2 6 3 5" xfId="3753" xr:uid="{3E2EA4B5-0D24-48E1-9527-91DFF2D7ACF2}"/>
    <cellStyle name="Финансовый 2 2 6 4" xfId="967" xr:uid="{3E2EA4B5-0D24-48E1-9527-91DFF2D7ACF2}"/>
    <cellStyle name="Финансовый 2 2 6 4 2" xfId="2002" xr:uid="{3E2EA4B5-0D24-48E1-9527-91DFF2D7ACF2}"/>
    <cellStyle name="Финансовый 2 2 6 4 2 2" xfId="4996" xr:uid="{3E2EA4B5-0D24-48E1-9527-91DFF2D7ACF2}"/>
    <cellStyle name="Финансовый 2 2 6 4 3" xfId="2712" xr:uid="{3E2EA4B5-0D24-48E1-9527-91DFF2D7ACF2}"/>
    <cellStyle name="Финансовый 2 2 6 4 3 2" xfId="5706" xr:uid="{3E2EA4B5-0D24-48E1-9527-91DFF2D7ACF2}"/>
    <cellStyle name="Финансовый 2 2 6 4 4" xfId="3962" xr:uid="{3E2EA4B5-0D24-48E1-9527-91DFF2D7ACF2}"/>
    <cellStyle name="Финансовый 2 2 6 5" xfId="1321" xr:uid="{3E2EA4B5-0D24-48E1-9527-91DFF2D7ACF2}"/>
    <cellStyle name="Финансовый 2 2 6 5 2" xfId="2180" xr:uid="{3E2EA4B5-0D24-48E1-9527-91DFF2D7ACF2}"/>
    <cellStyle name="Финансовый 2 2 6 5 2 2" xfId="5174" xr:uid="{3E2EA4B5-0D24-48E1-9527-91DFF2D7ACF2}"/>
    <cellStyle name="Финансовый 2 2 6 5 3" xfId="4316" xr:uid="{3E2EA4B5-0D24-48E1-9527-91DFF2D7ACF2}"/>
    <cellStyle name="Финансовый 2 2 6 6" xfId="1741" xr:uid="{3E2EA4B5-0D24-48E1-9527-91DFF2D7ACF2}"/>
    <cellStyle name="Финансовый 2 2 6 6 2" xfId="4736" xr:uid="{3E2EA4B5-0D24-48E1-9527-91DFF2D7ACF2}"/>
    <cellStyle name="Финансовый 2 2 6 7" xfId="2607" xr:uid="{3E2EA4B5-0D24-48E1-9527-91DFF2D7ACF2}"/>
    <cellStyle name="Финансовый 2 2 6 7 2" xfId="5601" xr:uid="{3E2EA4B5-0D24-48E1-9527-91DFF2D7ACF2}"/>
    <cellStyle name="Финансовый 2 2 6 8" xfId="3523" xr:uid="{3E2EA4B5-0D24-48E1-9527-91DFF2D7ACF2}"/>
    <cellStyle name="Финансовый 2 2 7" xfId="790" xr:uid="{3E2EA4B5-0D24-48E1-9527-91DFF2D7ACF2}"/>
    <cellStyle name="Финансовый 2 2 7 2" xfId="1144" xr:uid="{3E2EA4B5-0D24-48E1-9527-91DFF2D7ACF2}"/>
    <cellStyle name="Финансовый 2 2 7 2 2" xfId="2040" xr:uid="{3E2EA4B5-0D24-48E1-9527-91DFF2D7ACF2}"/>
    <cellStyle name="Финансовый 2 2 7 2 2 2" xfId="5034" xr:uid="{3E2EA4B5-0D24-48E1-9527-91DFF2D7ACF2}"/>
    <cellStyle name="Финансовый 2 2 7 2 3" xfId="4139" xr:uid="{3E2EA4B5-0D24-48E1-9527-91DFF2D7ACF2}"/>
    <cellStyle name="Финансовый 2 2 7 3" xfId="1584" xr:uid="{3E2EA4B5-0D24-48E1-9527-91DFF2D7ACF2}"/>
    <cellStyle name="Финансовый 2 2 7 3 2" xfId="2300" xr:uid="{3E2EA4B5-0D24-48E1-9527-91DFF2D7ACF2}"/>
    <cellStyle name="Финансовый 2 2 7 3 2 2" xfId="5294" xr:uid="{3E2EA4B5-0D24-48E1-9527-91DFF2D7ACF2}"/>
    <cellStyle name="Финансовый 2 2 7 3 3" xfId="4579" xr:uid="{3E2EA4B5-0D24-48E1-9527-91DFF2D7ACF2}"/>
    <cellStyle name="Финансовый 2 2 7 4" xfId="1861" xr:uid="{3E2EA4B5-0D24-48E1-9527-91DFF2D7ACF2}"/>
    <cellStyle name="Финансовый 2 2 7 4 2" xfId="4856" xr:uid="{3E2EA4B5-0D24-48E1-9527-91DFF2D7ACF2}"/>
    <cellStyle name="Финансовый 2 2 7 5" xfId="2975" xr:uid="{3E2EA4B5-0D24-48E1-9527-91DFF2D7ACF2}"/>
    <cellStyle name="Финансовый 2 2 7 5 2" xfId="5969" xr:uid="{3E2EA4B5-0D24-48E1-9527-91DFF2D7ACF2}"/>
    <cellStyle name="Финансовый 2 2 7 6" xfId="3786" xr:uid="{3E2EA4B5-0D24-48E1-9527-91DFF2D7ACF2}"/>
    <cellStyle name="Финансовый 2 2 8" xfId="684" xr:uid="{3E2EA4B5-0D24-48E1-9527-91DFF2D7ACF2}"/>
    <cellStyle name="Финансовый 2 2 8 2" xfId="1479" xr:uid="{3E2EA4B5-0D24-48E1-9527-91DFF2D7ACF2}"/>
    <cellStyle name="Финансовый 2 2 8 2 2" xfId="2216" xr:uid="{3E2EA4B5-0D24-48E1-9527-91DFF2D7ACF2}"/>
    <cellStyle name="Финансовый 2 2 8 2 2 2" xfId="5210" xr:uid="{3E2EA4B5-0D24-48E1-9527-91DFF2D7ACF2}"/>
    <cellStyle name="Финансовый 2 2 8 2 3" xfId="4474" xr:uid="{3E2EA4B5-0D24-48E1-9527-91DFF2D7ACF2}"/>
    <cellStyle name="Финансовый 2 2 8 3" xfId="1777" xr:uid="{3E2EA4B5-0D24-48E1-9527-91DFF2D7ACF2}"/>
    <cellStyle name="Финансовый 2 2 8 3 2" xfId="4772" xr:uid="{3E2EA4B5-0D24-48E1-9527-91DFF2D7ACF2}"/>
    <cellStyle name="Финансовый 2 2 8 4" xfId="2870" xr:uid="{3E2EA4B5-0D24-48E1-9527-91DFF2D7ACF2}"/>
    <cellStyle name="Финансовый 2 2 8 4 2" xfId="5864" xr:uid="{3E2EA4B5-0D24-48E1-9527-91DFF2D7ACF2}"/>
    <cellStyle name="Финансовый 2 2 8 5" xfId="3681" xr:uid="{3E2EA4B5-0D24-48E1-9527-91DFF2D7ACF2}"/>
    <cellStyle name="Финансовый 2 2 9" xfId="902" xr:uid="{3E2EA4B5-0D24-48E1-9527-91DFF2D7ACF2}"/>
    <cellStyle name="Финансовый 2 2 9 2" xfId="1952" xr:uid="{3E2EA4B5-0D24-48E1-9527-91DFF2D7ACF2}"/>
    <cellStyle name="Финансовый 2 2 9 2 2" xfId="4947" xr:uid="{3E2EA4B5-0D24-48E1-9527-91DFF2D7ACF2}"/>
    <cellStyle name="Финансовый 2 2 9 3" xfId="2640" xr:uid="{3E2EA4B5-0D24-48E1-9527-91DFF2D7ACF2}"/>
    <cellStyle name="Финансовый 2 2 9 3 2" xfId="5634" xr:uid="{3E2EA4B5-0D24-48E1-9527-91DFF2D7ACF2}"/>
    <cellStyle name="Финансовый 2 2 9 4" xfId="3898" xr:uid="{3E2EA4B5-0D24-48E1-9527-91DFF2D7ACF2}"/>
    <cellStyle name="Финансовый 2 3" xfId="465" xr:uid="{3E2EA4B5-0D24-48E1-9527-91DFF2D7ACF2}"/>
    <cellStyle name="Финансовый 2 3 10" xfId="1686" xr:uid="{3E2EA4B5-0D24-48E1-9527-91DFF2D7ACF2}"/>
    <cellStyle name="Финансовый 2 3 10 2" xfId="4681" xr:uid="{3E2EA4B5-0D24-48E1-9527-91DFF2D7ACF2}"/>
    <cellStyle name="Финансовый 2 3 11" xfId="2551" xr:uid="{3E2EA4B5-0D24-48E1-9527-91DFF2D7ACF2}"/>
    <cellStyle name="Финансовый 2 3 11 2" xfId="5545" xr:uid="{3E2EA4B5-0D24-48E1-9527-91DFF2D7ACF2}"/>
    <cellStyle name="Финансовый 2 3 12" xfId="3468" xr:uid="{3E2EA4B5-0D24-48E1-9527-91DFF2D7ACF2}"/>
    <cellStyle name="Финансовый 2 3 2" xfId="474" xr:uid="{3E2EA4B5-0D24-48E1-9527-91DFF2D7ACF2}"/>
    <cellStyle name="Финансовый 2 3 2 10" xfId="2559" xr:uid="{3E2EA4B5-0D24-48E1-9527-91DFF2D7ACF2}"/>
    <cellStyle name="Финансовый 2 3 2 10 2" xfId="5553" xr:uid="{3E2EA4B5-0D24-48E1-9527-91DFF2D7ACF2}"/>
    <cellStyle name="Финансовый 2 3 2 11" xfId="3475" xr:uid="{3E2EA4B5-0D24-48E1-9527-91DFF2D7ACF2}"/>
    <cellStyle name="Финансовый 2 3 2 2" xfId="488" xr:uid="{3E2EA4B5-0D24-48E1-9527-91DFF2D7ACF2}"/>
    <cellStyle name="Финансовый 2 3 2 2 10" xfId="3489" xr:uid="{3E2EA4B5-0D24-48E1-9527-91DFF2D7ACF2}"/>
    <cellStyle name="Финансовый 2 3 2 2 2" xfId="518" xr:uid="{3E2EA4B5-0D24-48E1-9527-91DFF2D7ACF2}"/>
    <cellStyle name="Финансовый 2 3 2 2 2 2" xfId="856" xr:uid="{3E2EA4B5-0D24-48E1-9527-91DFF2D7ACF2}"/>
    <cellStyle name="Финансовый 2 3 2 2 2 2 2" xfId="1210" xr:uid="{3E2EA4B5-0D24-48E1-9527-91DFF2D7ACF2}"/>
    <cellStyle name="Финансовый 2 3 2 2 2 2 2 2" xfId="2090" xr:uid="{3E2EA4B5-0D24-48E1-9527-91DFF2D7ACF2}"/>
    <cellStyle name="Финансовый 2 3 2 2 2 2 2 2 2" xfId="5084" xr:uid="{3E2EA4B5-0D24-48E1-9527-91DFF2D7ACF2}"/>
    <cellStyle name="Финансовый 2 3 2 2 2 2 2 3" xfId="4205" xr:uid="{3E2EA4B5-0D24-48E1-9527-91DFF2D7ACF2}"/>
    <cellStyle name="Финансовый 2 3 2 2 2 2 3" xfId="1650" xr:uid="{3E2EA4B5-0D24-48E1-9527-91DFF2D7ACF2}"/>
    <cellStyle name="Финансовый 2 3 2 2 2 2 3 2" xfId="2350" xr:uid="{3E2EA4B5-0D24-48E1-9527-91DFF2D7ACF2}"/>
    <cellStyle name="Финансовый 2 3 2 2 2 2 3 2 2" xfId="5344" xr:uid="{3E2EA4B5-0D24-48E1-9527-91DFF2D7ACF2}"/>
    <cellStyle name="Финансовый 2 3 2 2 2 2 3 3" xfId="4645" xr:uid="{3E2EA4B5-0D24-48E1-9527-91DFF2D7ACF2}"/>
    <cellStyle name="Финансовый 2 3 2 2 2 2 4" xfId="1911" xr:uid="{3E2EA4B5-0D24-48E1-9527-91DFF2D7ACF2}"/>
    <cellStyle name="Финансовый 2 3 2 2 2 2 4 2" xfId="4906" xr:uid="{3E2EA4B5-0D24-48E1-9527-91DFF2D7ACF2}"/>
    <cellStyle name="Финансовый 2 3 2 2 2 2 5" xfId="3041" xr:uid="{3E2EA4B5-0D24-48E1-9527-91DFF2D7ACF2}"/>
    <cellStyle name="Финансовый 2 3 2 2 2 2 5 2" xfId="6035" xr:uid="{3E2EA4B5-0D24-48E1-9527-91DFF2D7ACF2}"/>
    <cellStyle name="Финансовый 2 3 2 2 2 2 6" xfId="3852" xr:uid="{3E2EA4B5-0D24-48E1-9527-91DFF2D7ACF2}"/>
    <cellStyle name="Финансовый 2 3 2 2 2 3" xfId="751" xr:uid="{3E2EA4B5-0D24-48E1-9527-91DFF2D7ACF2}"/>
    <cellStyle name="Финансовый 2 3 2 2 2 3 2" xfId="1545" xr:uid="{3E2EA4B5-0D24-48E1-9527-91DFF2D7ACF2}"/>
    <cellStyle name="Финансовый 2 3 2 2 2 3 2 2" xfId="2266" xr:uid="{3E2EA4B5-0D24-48E1-9527-91DFF2D7ACF2}"/>
    <cellStyle name="Финансовый 2 3 2 2 2 3 2 2 2" xfId="5260" xr:uid="{3E2EA4B5-0D24-48E1-9527-91DFF2D7ACF2}"/>
    <cellStyle name="Финансовый 2 3 2 2 2 3 2 3" xfId="4540" xr:uid="{3E2EA4B5-0D24-48E1-9527-91DFF2D7ACF2}"/>
    <cellStyle name="Финансовый 2 3 2 2 2 3 3" xfId="1827" xr:uid="{3E2EA4B5-0D24-48E1-9527-91DFF2D7ACF2}"/>
    <cellStyle name="Финансовый 2 3 2 2 2 3 3 2" xfId="4822" xr:uid="{3E2EA4B5-0D24-48E1-9527-91DFF2D7ACF2}"/>
    <cellStyle name="Финансовый 2 3 2 2 2 3 4" xfId="2936" xr:uid="{3E2EA4B5-0D24-48E1-9527-91DFF2D7ACF2}"/>
    <cellStyle name="Финансовый 2 3 2 2 2 3 4 2" xfId="5930" xr:uid="{3E2EA4B5-0D24-48E1-9527-91DFF2D7ACF2}"/>
    <cellStyle name="Финансовый 2 3 2 2 2 3 5" xfId="3747" xr:uid="{3E2EA4B5-0D24-48E1-9527-91DFF2D7ACF2}"/>
    <cellStyle name="Финансовый 2 3 2 2 2 4" xfId="891" xr:uid="{3E2EA4B5-0D24-48E1-9527-91DFF2D7ACF2}"/>
    <cellStyle name="Финансовый 2 3 2 2 2 4 2" xfId="1944" xr:uid="{3E2EA4B5-0D24-48E1-9527-91DFF2D7ACF2}"/>
    <cellStyle name="Финансовый 2 3 2 2 2 4 2 2" xfId="4939" xr:uid="{3E2EA4B5-0D24-48E1-9527-91DFF2D7ACF2}"/>
    <cellStyle name="Финансовый 2 3 2 2 2 4 3" xfId="2706" xr:uid="{3E2EA4B5-0D24-48E1-9527-91DFF2D7ACF2}"/>
    <cellStyle name="Финансовый 2 3 2 2 2 4 3 2" xfId="5700" xr:uid="{3E2EA4B5-0D24-48E1-9527-91DFF2D7ACF2}"/>
    <cellStyle name="Финансовый 2 3 2 2 2 4 4" xfId="3887" xr:uid="{3E2EA4B5-0D24-48E1-9527-91DFF2D7ACF2}"/>
    <cellStyle name="Финансовый 2 3 2 2 2 5" xfId="1315" xr:uid="{3E2EA4B5-0D24-48E1-9527-91DFF2D7ACF2}"/>
    <cellStyle name="Финансовый 2 3 2 2 2 5 2" xfId="2174" xr:uid="{3E2EA4B5-0D24-48E1-9527-91DFF2D7ACF2}"/>
    <cellStyle name="Финансовый 2 3 2 2 2 5 2 2" xfId="5168" xr:uid="{3E2EA4B5-0D24-48E1-9527-91DFF2D7ACF2}"/>
    <cellStyle name="Финансовый 2 3 2 2 2 5 3" xfId="4310" xr:uid="{3E2EA4B5-0D24-48E1-9527-91DFF2D7ACF2}"/>
    <cellStyle name="Финансовый 2 3 2 2 2 6" xfId="1735" xr:uid="{3E2EA4B5-0D24-48E1-9527-91DFF2D7ACF2}"/>
    <cellStyle name="Финансовый 2 3 2 2 2 6 2" xfId="4730" xr:uid="{3E2EA4B5-0D24-48E1-9527-91DFF2D7ACF2}"/>
    <cellStyle name="Финансовый 2 3 2 2 2 7" xfId="2601" xr:uid="{3E2EA4B5-0D24-48E1-9527-91DFF2D7ACF2}"/>
    <cellStyle name="Финансовый 2 3 2 2 2 7 2" xfId="5595" xr:uid="{3E2EA4B5-0D24-48E1-9527-91DFF2D7ACF2}"/>
    <cellStyle name="Финансовый 2 3 2 2 2 8" xfId="3517" xr:uid="{3E2EA4B5-0D24-48E1-9527-91DFF2D7ACF2}"/>
    <cellStyle name="Финансовый 2 3 2 2 3" xfId="546" xr:uid="{3E2EA4B5-0D24-48E1-9527-91DFF2D7ACF2}"/>
    <cellStyle name="Финансовый 2 3 2 2 3 2" xfId="884" xr:uid="{3E2EA4B5-0D24-48E1-9527-91DFF2D7ACF2}"/>
    <cellStyle name="Финансовый 2 3 2 2 3 2 2" xfId="1238" xr:uid="{3E2EA4B5-0D24-48E1-9527-91DFF2D7ACF2}"/>
    <cellStyle name="Финансовый 2 3 2 2 3 2 2 2" xfId="2118" xr:uid="{3E2EA4B5-0D24-48E1-9527-91DFF2D7ACF2}"/>
    <cellStyle name="Финансовый 2 3 2 2 3 2 2 2 2" xfId="5112" xr:uid="{3E2EA4B5-0D24-48E1-9527-91DFF2D7ACF2}"/>
    <cellStyle name="Финансовый 2 3 2 2 3 2 2 3" xfId="4233" xr:uid="{3E2EA4B5-0D24-48E1-9527-91DFF2D7ACF2}"/>
    <cellStyle name="Финансовый 2 3 2 2 3 2 3" xfId="1678" xr:uid="{3E2EA4B5-0D24-48E1-9527-91DFF2D7ACF2}"/>
    <cellStyle name="Финансовый 2 3 2 2 3 2 3 2" xfId="2378" xr:uid="{3E2EA4B5-0D24-48E1-9527-91DFF2D7ACF2}"/>
    <cellStyle name="Финансовый 2 3 2 2 3 2 3 2 2" xfId="5372" xr:uid="{3E2EA4B5-0D24-48E1-9527-91DFF2D7ACF2}"/>
    <cellStyle name="Финансовый 2 3 2 2 3 2 3 3" xfId="4673" xr:uid="{3E2EA4B5-0D24-48E1-9527-91DFF2D7ACF2}"/>
    <cellStyle name="Финансовый 2 3 2 2 3 2 4" xfId="1939" xr:uid="{3E2EA4B5-0D24-48E1-9527-91DFF2D7ACF2}"/>
    <cellStyle name="Финансовый 2 3 2 2 3 2 4 2" xfId="4934" xr:uid="{3E2EA4B5-0D24-48E1-9527-91DFF2D7ACF2}"/>
    <cellStyle name="Финансовый 2 3 2 2 3 2 5" xfId="3069" xr:uid="{3E2EA4B5-0D24-48E1-9527-91DFF2D7ACF2}"/>
    <cellStyle name="Финансовый 2 3 2 2 3 2 5 2" xfId="6063" xr:uid="{3E2EA4B5-0D24-48E1-9527-91DFF2D7ACF2}"/>
    <cellStyle name="Финансовый 2 3 2 2 3 2 6" xfId="3880" xr:uid="{3E2EA4B5-0D24-48E1-9527-91DFF2D7ACF2}"/>
    <cellStyle name="Финансовый 2 3 2 2 3 3" xfId="779" xr:uid="{3E2EA4B5-0D24-48E1-9527-91DFF2D7ACF2}"/>
    <cellStyle name="Финансовый 2 3 2 2 3 3 2" xfId="1573" xr:uid="{3E2EA4B5-0D24-48E1-9527-91DFF2D7ACF2}"/>
    <cellStyle name="Финансовый 2 3 2 2 3 3 2 2" xfId="2294" xr:uid="{3E2EA4B5-0D24-48E1-9527-91DFF2D7ACF2}"/>
    <cellStyle name="Финансовый 2 3 2 2 3 3 2 2 2" xfId="5288" xr:uid="{3E2EA4B5-0D24-48E1-9527-91DFF2D7ACF2}"/>
    <cellStyle name="Финансовый 2 3 2 2 3 3 2 3" xfId="4568" xr:uid="{3E2EA4B5-0D24-48E1-9527-91DFF2D7ACF2}"/>
    <cellStyle name="Финансовый 2 3 2 2 3 3 3" xfId="1855" xr:uid="{3E2EA4B5-0D24-48E1-9527-91DFF2D7ACF2}"/>
    <cellStyle name="Финансовый 2 3 2 2 3 3 3 2" xfId="4850" xr:uid="{3E2EA4B5-0D24-48E1-9527-91DFF2D7ACF2}"/>
    <cellStyle name="Финансовый 2 3 2 2 3 3 4" xfId="2964" xr:uid="{3E2EA4B5-0D24-48E1-9527-91DFF2D7ACF2}"/>
    <cellStyle name="Финансовый 2 3 2 2 3 3 4 2" xfId="5958" xr:uid="{3E2EA4B5-0D24-48E1-9527-91DFF2D7ACF2}"/>
    <cellStyle name="Финансовый 2 3 2 2 3 3 5" xfId="3775" xr:uid="{3E2EA4B5-0D24-48E1-9527-91DFF2D7ACF2}"/>
    <cellStyle name="Финансовый 2 3 2 2 3 4" xfId="989" xr:uid="{3E2EA4B5-0D24-48E1-9527-91DFF2D7ACF2}"/>
    <cellStyle name="Финансовый 2 3 2 2 3 4 2" xfId="2024" xr:uid="{3E2EA4B5-0D24-48E1-9527-91DFF2D7ACF2}"/>
    <cellStyle name="Финансовый 2 3 2 2 3 4 2 2" xfId="5018" xr:uid="{3E2EA4B5-0D24-48E1-9527-91DFF2D7ACF2}"/>
    <cellStyle name="Финансовый 2 3 2 2 3 4 3" xfId="2734" xr:uid="{3E2EA4B5-0D24-48E1-9527-91DFF2D7ACF2}"/>
    <cellStyle name="Финансовый 2 3 2 2 3 4 3 2" xfId="5728" xr:uid="{3E2EA4B5-0D24-48E1-9527-91DFF2D7ACF2}"/>
    <cellStyle name="Финансовый 2 3 2 2 3 4 4" xfId="3984" xr:uid="{3E2EA4B5-0D24-48E1-9527-91DFF2D7ACF2}"/>
    <cellStyle name="Финансовый 2 3 2 2 3 5" xfId="1343" xr:uid="{3E2EA4B5-0D24-48E1-9527-91DFF2D7ACF2}"/>
    <cellStyle name="Финансовый 2 3 2 2 3 5 2" xfId="2202" xr:uid="{3E2EA4B5-0D24-48E1-9527-91DFF2D7ACF2}"/>
    <cellStyle name="Финансовый 2 3 2 2 3 5 2 2" xfId="5196" xr:uid="{3E2EA4B5-0D24-48E1-9527-91DFF2D7ACF2}"/>
    <cellStyle name="Финансовый 2 3 2 2 3 5 3" xfId="4338" xr:uid="{3E2EA4B5-0D24-48E1-9527-91DFF2D7ACF2}"/>
    <cellStyle name="Финансовый 2 3 2 2 3 6" xfId="1763" xr:uid="{3E2EA4B5-0D24-48E1-9527-91DFF2D7ACF2}"/>
    <cellStyle name="Финансовый 2 3 2 2 3 6 2" xfId="4758" xr:uid="{3E2EA4B5-0D24-48E1-9527-91DFF2D7ACF2}"/>
    <cellStyle name="Финансовый 2 3 2 2 3 7" xfId="2629" xr:uid="{3E2EA4B5-0D24-48E1-9527-91DFF2D7ACF2}"/>
    <cellStyle name="Финансовый 2 3 2 2 3 7 2" xfId="5623" xr:uid="{3E2EA4B5-0D24-48E1-9527-91DFF2D7ACF2}"/>
    <cellStyle name="Финансовый 2 3 2 2 3 8" xfId="3545" xr:uid="{3E2EA4B5-0D24-48E1-9527-91DFF2D7ACF2}"/>
    <cellStyle name="Финансовый 2 3 2 2 4" xfId="828" xr:uid="{3E2EA4B5-0D24-48E1-9527-91DFF2D7ACF2}"/>
    <cellStyle name="Финансовый 2 3 2 2 4 2" xfId="1182" xr:uid="{3E2EA4B5-0D24-48E1-9527-91DFF2D7ACF2}"/>
    <cellStyle name="Финансовый 2 3 2 2 4 2 2" xfId="2062" xr:uid="{3E2EA4B5-0D24-48E1-9527-91DFF2D7ACF2}"/>
    <cellStyle name="Финансовый 2 3 2 2 4 2 2 2" xfId="5056" xr:uid="{3E2EA4B5-0D24-48E1-9527-91DFF2D7ACF2}"/>
    <cellStyle name="Финансовый 2 3 2 2 4 2 3" xfId="4177" xr:uid="{3E2EA4B5-0D24-48E1-9527-91DFF2D7ACF2}"/>
    <cellStyle name="Финансовый 2 3 2 2 4 3" xfId="1622" xr:uid="{3E2EA4B5-0D24-48E1-9527-91DFF2D7ACF2}"/>
    <cellStyle name="Финансовый 2 3 2 2 4 3 2" xfId="2322" xr:uid="{3E2EA4B5-0D24-48E1-9527-91DFF2D7ACF2}"/>
    <cellStyle name="Финансовый 2 3 2 2 4 3 2 2" xfId="5316" xr:uid="{3E2EA4B5-0D24-48E1-9527-91DFF2D7ACF2}"/>
    <cellStyle name="Финансовый 2 3 2 2 4 3 3" xfId="4617" xr:uid="{3E2EA4B5-0D24-48E1-9527-91DFF2D7ACF2}"/>
    <cellStyle name="Финансовый 2 3 2 2 4 4" xfId="1883" xr:uid="{3E2EA4B5-0D24-48E1-9527-91DFF2D7ACF2}"/>
    <cellStyle name="Финансовый 2 3 2 2 4 4 2" xfId="4878" xr:uid="{3E2EA4B5-0D24-48E1-9527-91DFF2D7ACF2}"/>
    <cellStyle name="Финансовый 2 3 2 2 4 5" xfId="3013" xr:uid="{3E2EA4B5-0D24-48E1-9527-91DFF2D7ACF2}"/>
    <cellStyle name="Финансовый 2 3 2 2 4 5 2" xfId="6007" xr:uid="{3E2EA4B5-0D24-48E1-9527-91DFF2D7ACF2}"/>
    <cellStyle name="Финансовый 2 3 2 2 4 6" xfId="3824" xr:uid="{3E2EA4B5-0D24-48E1-9527-91DFF2D7ACF2}"/>
    <cellStyle name="Финансовый 2 3 2 2 5" xfId="722" xr:uid="{3E2EA4B5-0D24-48E1-9527-91DFF2D7ACF2}"/>
    <cellStyle name="Финансовый 2 3 2 2 5 2" xfId="1517" xr:uid="{3E2EA4B5-0D24-48E1-9527-91DFF2D7ACF2}"/>
    <cellStyle name="Финансовый 2 3 2 2 5 2 2" xfId="2238" xr:uid="{3E2EA4B5-0D24-48E1-9527-91DFF2D7ACF2}"/>
    <cellStyle name="Финансовый 2 3 2 2 5 2 2 2" xfId="5232" xr:uid="{3E2EA4B5-0D24-48E1-9527-91DFF2D7ACF2}"/>
    <cellStyle name="Финансовый 2 3 2 2 5 2 3" xfId="4512" xr:uid="{3E2EA4B5-0D24-48E1-9527-91DFF2D7ACF2}"/>
    <cellStyle name="Финансовый 2 3 2 2 5 3" xfId="1799" xr:uid="{3E2EA4B5-0D24-48E1-9527-91DFF2D7ACF2}"/>
    <cellStyle name="Финансовый 2 3 2 2 5 3 2" xfId="4794" xr:uid="{3E2EA4B5-0D24-48E1-9527-91DFF2D7ACF2}"/>
    <cellStyle name="Финансовый 2 3 2 2 5 4" xfId="2908" xr:uid="{3E2EA4B5-0D24-48E1-9527-91DFF2D7ACF2}"/>
    <cellStyle name="Финансовый 2 3 2 2 5 4 2" xfId="5902" xr:uid="{3E2EA4B5-0D24-48E1-9527-91DFF2D7ACF2}"/>
    <cellStyle name="Финансовый 2 3 2 2 5 5" xfId="3719" xr:uid="{3E2EA4B5-0D24-48E1-9527-91DFF2D7ACF2}"/>
    <cellStyle name="Финансовый 2 3 2 2 6" xfId="949" xr:uid="{3E2EA4B5-0D24-48E1-9527-91DFF2D7ACF2}"/>
    <cellStyle name="Финансовый 2 3 2 2 6 2" xfId="1989" xr:uid="{3E2EA4B5-0D24-48E1-9527-91DFF2D7ACF2}"/>
    <cellStyle name="Финансовый 2 3 2 2 6 2 2" xfId="4983" xr:uid="{3E2EA4B5-0D24-48E1-9527-91DFF2D7ACF2}"/>
    <cellStyle name="Финансовый 2 3 2 2 6 3" xfId="2678" xr:uid="{3E2EA4B5-0D24-48E1-9527-91DFF2D7ACF2}"/>
    <cellStyle name="Финансовый 2 3 2 2 6 3 2" xfId="5672" xr:uid="{3E2EA4B5-0D24-48E1-9527-91DFF2D7ACF2}"/>
    <cellStyle name="Финансовый 2 3 2 2 6 4" xfId="3944" xr:uid="{3E2EA4B5-0D24-48E1-9527-91DFF2D7ACF2}"/>
    <cellStyle name="Финансовый 2 3 2 2 7" xfId="1287" xr:uid="{3E2EA4B5-0D24-48E1-9527-91DFF2D7ACF2}"/>
    <cellStyle name="Финансовый 2 3 2 2 7 2" xfId="2146" xr:uid="{3E2EA4B5-0D24-48E1-9527-91DFF2D7ACF2}"/>
    <cellStyle name="Финансовый 2 3 2 2 7 2 2" xfId="5140" xr:uid="{3E2EA4B5-0D24-48E1-9527-91DFF2D7ACF2}"/>
    <cellStyle name="Финансовый 2 3 2 2 7 3" xfId="4282" xr:uid="{3E2EA4B5-0D24-48E1-9527-91DFF2D7ACF2}"/>
    <cellStyle name="Финансовый 2 3 2 2 8" xfId="1707" xr:uid="{3E2EA4B5-0D24-48E1-9527-91DFF2D7ACF2}"/>
    <cellStyle name="Финансовый 2 3 2 2 8 2" xfId="4702" xr:uid="{3E2EA4B5-0D24-48E1-9527-91DFF2D7ACF2}"/>
    <cellStyle name="Финансовый 2 3 2 2 9" xfId="2573" xr:uid="{3E2EA4B5-0D24-48E1-9527-91DFF2D7ACF2}"/>
    <cellStyle name="Финансовый 2 3 2 2 9 2" xfId="5567" xr:uid="{3E2EA4B5-0D24-48E1-9527-91DFF2D7ACF2}"/>
    <cellStyle name="Финансовый 2 3 2 3" xfId="502" xr:uid="{3E2EA4B5-0D24-48E1-9527-91DFF2D7ACF2}"/>
    <cellStyle name="Финансовый 2 3 2 3 2" xfId="842" xr:uid="{3E2EA4B5-0D24-48E1-9527-91DFF2D7ACF2}"/>
    <cellStyle name="Финансовый 2 3 2 3 2 2" xfId="1196" xr:uid="{3E2EA4B5-0D24-48E1-9527-91DFF2D7ACF2}"/>
    <cellStyle name="Финансовый 2 3 2 3 2 2 2" xfId="2076" xr:uid="{3E2EA4B5-0D24-48E1-9527-91DFF2D7ACF2}"/>
    <cellStyle name="Финансовый 2 3 2 3 2 2 2 2" xfId="5070" xr:uid="{3E2EA4B5-0D24-48E1-9527-91DFF2D7ACF2}"/>
    <cellStyle name="Финансовый 2 3 2 3 2 2 3" xfId="4191" xr:uid="{3E2EA4B5-0D24-48E1-9527-91DFF2D7ACF2}"/>
    <cellStyle name="Финансовый 2 3 2 3 2 3" xfId="1636" xr:uid="{3E2EA4B5-0D24-48E1-9527-91DFF2D7ACF2}"/>
    <cellStyle name="Финансовый 2 3 2 3 2 3 2" xfId="2336" xr:uid="{3E2EA4B5-0D24-48E1-9527-91DFF2D7ACF2}"/>
    <cellStyle name="Финансовый 2 3 2 3 2 3 2 2" xfId="5330" xr:uid="{3E2EA4B5-0D24-48E1-9527-91DFF2D7ACF2}"/>
    <cellStyle name="Финансовый 2 3 2 3 2 3 3" xfId="4631" xr:uid="{3E2EA4B5-0D24-48E1-9527-91DFF2D7ACF2}"/>
    <cellStyle name="Финансовый 2 3 2 3 2 4" xfId="1897" xr:uid="{3E2EA4B5-0D24-48E1-9527-91DFF2D7ACF2}"/>
    <cellStyle name="Финансовый 2 3 2 3 2 4 2" xfId="4892" xr:uid="{3E2EA4B5-0D24-48E1-9527-91DFF2D7ACF2}"/>
    <cellStyle name="Финансовый 2 3 2 3 2 5" xfId="3027" xr:uid="{3E2EA4B5-0D24-48E1-9527-91DFF2D7ACF2}"/>
    <cellStyle name="Финансовый 2 3 2 3 2 5 2" xfId="6021" xr:uid="{3E2EA4B5-0D24-48E1-9527-91DFF2D7ACF2}"/>
    <cellStyle name="Финансовый 2 3 2 3 2 6" xfId="3838" xr:uid="{3E2EA4B5-0D24-48E1-9527-91DFF2D7ACF2}"/>
    <cellStyle name="Финансовый 2 3 2 3 3" xfId="736" xr:uid="{3E2EA4B5-0D24-48E1-9527-91DFF2D7ACF2}"/>
    <cellStyle name="Финансовый 2 3 2 3 3 2" xfId="1531" xr:uid="{3E2EA4B5-0D24-48E1-9527-91DFF2D7ACF2}"/>
    <cellStyle name="Финансовый 2 3 2 3 3 2 2" xfId="2252" xr:uid="{3E2EA4B5-0D24-48E1-9527-91DFF2D7ACF2}"/>
    <cellStyle name="Финансовый 2 3 2 3 3 2 2 2" xfId="5246" xr:uid="{3E2EA4B5-0D24-48E1-9527-91DFF2D7ACF2}"/>
    <cellStyle name="Финансовый 2 3 2 3 3 2 3" xfId="4526" xr:uid="{3E2EA4B5-0D24-48E1-9527-91DFF2D7ACF2}"/>
    <cellStyle name="Финансовый 2 3 2 3 3 3" xfId="1813" xr:uid="{3E2EA4B5-0D24-48E1-9527-91DFF2D7ACF2}"/>
    <cellStyle name="Финансовый 2 3 2 3 3 3 2" xfId="4808" xr:uid="{3E2EA4B5-0D24-48E1-9527-91DFF2D7ACF2}"/>
    <cellStyle name="Финансовый 2 3 2 3 3 4" xfId="2922" xr:uid="{3E2EA4B5-0D24-48E1-9527-91DFF2D7ACF2}"/>
    <cellStyle name="Финансовый 2 3 2 3 3 4 2" xfId="5916" xr:uid="{3E2EA4B5-0D24-48E1-9527-91DFF2D7ACF2}"/>
    <cellStyle name="Финансовый 2 3 2 3 3 5" xfId="3733" xr:uid="{3E2EA4B5-0D24-48E1-9527-91DFF2D7ACF2}"/>
    <cellStyle name="Финансовый 2 3 2 3 4" xfId="952" xr:uid="{3E2EA4B5-0D24-48E1-9527-91DFF2D7ACF2}"/>
    <cellStyle name="Финансовый 2 3 2 3 4 2" xfId="1991" xr:uid="{3E2EA4B5-0D24-48E1-9527-91DFF2D7ACF2}"/>
    <cellStyle name="Финансовый 2 3 2 3 4 2 2" xfId="4985" xr:uid="{3E2EA4B5-0D24-48E1-9527-91DFF2D7ACF2}"/>
    <cellStyle name="Финансовый 2 3 2 3 4 3" xfId="2692" xr:uid="{3E2EA4B5-0D24-48E1-9527-91DFF2D7ACF2}"/>
    <cellStyle name="Финансовый 2 3 2 3 4 3 2" xfId="5686" xr:uid="{3E2EA4B5-0D24-48E1-9527-91DFF2D7ACF2}"/>
    <cellStyle name="Финансовый 2 3 2 3 4 4" xfId="3947" xr:uid="{3E2EA4B5-0D24-48E1-9527-91DFF2D7ACF2}"/>
    <cellStyle name="Финансовый 2 3 2 3 5" xfId="1301" xr:uid="{3E2EA4B5-0D24-48E1-9527-91DFF2D7ACF2}"/>
    <cellStyle name="Финансовый 2 3 2 3 5 2" xfId="2160" xr:uid="{3E2EA4B5-0D24-48E1-9527-91DFF2D7ACF2}"/>
    <cellStyle name="Финансовый 2 3 2 3 5 2 2" xfId="5154" xr:uid="{3E2EA4B5-0D24-48E1-9527-91DFF2D7ACF2}"/>
    <cellStyle name="Финансовый 2 3 2 3 5 3" xfId="4296" xr:uid="{3E2EA4B5-0D24-48E1-9527-91DFF2D7ACF2}"/>
    <cellStyle name="Финансовый 2 3 2 3 6" xfId="1721" xr:uid="{3E2EA4B5-0D24-48E1-9527-91DFF2D7ACF2}"/>
    <cellStyle name="Финансовый 2 3 2 3 6 2" xfId="4716" xr:uid="{3E2EA4B5-0D24-48E1-9527-91DFF2D7ACF2}"/>
    <cellStyle name="Финансовый 2 3 2 3 7" xfId="2587" xr:uid="{3E2EA4B5-0D24-48E1-9527-91DFF2D7ACF2}"/>
    <cellStyle name="Финансовый 2 3 2 3 7 2" xfId="5581" xr:uid="{3E2EA4B5-0D24-48E1-9527-91DFF2D7ACF2}"/>
    <cellStyle name="Финансовый 2 3 2 3 8" xfId="3503" xr:uid="{3E2EA4B5-0D24-48E1-9527-91DFF2D7ACF2}"/>
    <cellStyle name="Финансовый 2 3 2 4" xfId="532" xr:uid="{3E2EA4B5-0D24-48E1-9527-91DFF2D7ACF2}"/>
    <cellStyle name="Финансовый 2 3 2 4 2" xfId="870" xr:uid="{3E2EA4B5-0D24-48E1-9527-91DFF2D7ACF2}"/>
    <cellStyle name="Финансовый 2 3 2 4 2 2" xfId="1224" xr:uid="{3E2EA4B5-0D24-48E1-9527-91DFF2D7ACF2}"/>
    <cellStyle name="Финансовый 2 3 2 4 2 2 2" xfId="2104" xr:uid="{3E2EA4B5-0D24-48E1-9527-91DFF2D7ACF2}"/>
    <cellStyle name="Финансовый 2 3 2 4 2 2 2 2" xfId="5098" xr:uid="{3E2EA4B5-0D24-48E1-9527-91DFF2D7ACF2}"/>
    <cellStyle name="Финансовый 2 3 2 4 2 2 3" xfId="4219" xr:uid="{3E2EA4B5-0D24-48E1-9527-91DFF2D7ACF2}"/>
    <cellStyle name="Финансовый 2 3 2 4 2 3" xfId="1664" xr:uid="{3E2EA4B5-0D24-48E1-9527-91DFF2D7ACF2}"/>
    <cellStyle name="Финансовый 2 3 2 4 2 3 2" xfId="2364" xr:uid="{3E2EA4B5-0D24-48E1-9527-91DFF2D7ACF2}"/>
    <cellStyle name="Финансовый 2 3 2 4 2 3 2 2" xfId="5358" xr:uid="{3E2EA4B5-0D24-48E1-9527-91DFF2D7ACF2}"/>
    <cellStyle name="Финансовый 2 3 2 4 2 3 3" xfId="4659" xr:uid="{3E2EA4B5-0D24-48E1-9527-91DFF2D7ACF2}"/>
    <cellStyle name="Финансовый 2 3 2 4 2 4" xfId="1925" xr:uid="{3E2EA4B5-0D24-48E1-9527-91DFF2D7ACF2}"/>
    <cellStyle name="Финансовый 2 3 2 4 2 4 2" xfId="4920" xr:uid="{3E2EA4B5-0D24-48E1-9527-91DFF2D7ACF2}"/>
    <cellStyle name="Финансовый 2 3 2 4 2 5" xfId="3055" xr:uid="{3E2EA4B5-0D24-48E1-9527-91DFF2D7ACF2}"/>
    <cellStyle name="Финансовый 2 3 2 4 2 5 2" xfId="6049" xr:uid="{3E2EA4B5-0D24-48E1-9527-91DFF2D7ACF2}"/>
    <cellStyle name="Финансовый 2 3 2 4 2 6" xfId="3866" xr:uid="{3E2EA4B5-0D24-48E1-9527-91DFF2D7ACF2}"/>
    <cellStyle name="Финансовый 2 3 2 4 3" xfId="765" xr:uid="{3E2EA4B5-0D24-48E1-9527-91DFF2D7ACF2}"/>
    <cellStyle name="Финансовый 2 3 2 4 3 2" xfId="1559" xr:uid="{3E2EA4B5-0D24-48E1-9527-91DFF2D7ACF2}"/>
    <cellStyle name="Финансовый 2 3 2 4 3 2 2" xfId="2280" xr:uid="{3E2EA4B5-0D24-48E1-9527-91DFF2D7ACF2}"/>
    <cellStyle name="Финансовый 2 3 2 4 3 2 2 2" xfId="5274" xr:uid="{3E2EA4B5-0D24-48E1-9527-91DFF2D7ACF2}"/>
    <cellStyle name="Финансовый 2 3 2 4 3 2 3" xfId="4554" xr:uid="{3E2EA4B5-0D24-48E1-9527-91DFF2D7ACF2}"/>
    <cellStyle name="Финансовый 2 3 2 4 3 3" xfId="1841" xr:uid="{3E2EA4B5-0D24-48E1-9527-91DFF2D7ACF2}"/>
    <cellStyle name="Финансовый 2 3 2 4 3 3 2" xfId="4836" xr:uid="{3E2EA4B5-0D24-48E1-9527-91DFF2D7ACF2}"/>
    <cellStyle name="Финансовый 2 3 2 4 3 4" xfId="2950" xr:uid="{3E2EA4B5-0D24-48E1-9527-91DFF2D7ACF2}"/>
    <cellStyle name="Финансовый 2 3 2 4 3 4 2" xfId="5944" xr:uid="{3E2EA4B5-0D24-48E1-9527-91DFF2D7ACF2}"/>
    <cellStyle name="Финансовый 2 3 2 4 3 5" xfId="3761" xr:uid="{3E2EA4B5-0D24-48E1-9527-91DFF2D7ACF2}"/>
    <cellStyle name="Финансовый 2 3 2 4 4" xfId="975" xr:uid="{3E2EA4B5-0D24-48E1-9527-91DFF2D7ACF2}"/>
    <cellStyle name="Финансовый 2 3 2 4 4 2" xfId="2010" xr:uid="{3E2EA4B5-0D24-48E1-9527-91DFF2D7ACF2}"/>
    <cellStyle name="Финансовый 2 3 2 4 4 2 2" xfId="5004" xr:uid="{3E2EA4B5-0D24-48E1-9527-91DFF2D7ACF2}"/>
    <cellStyle name="Финансовый 2 3 2 4 4 3" xfId="2720" xr:uid="{3E2EA4B5-0D24-48E1-9527-91DFF2D7ACF2}"/>
    <cellStyle name="Финансовый 2 3 2 4 4 3 2" xfId="5714" xr:uid="{3E2EA4B5-0D24-48E1-9527-91DFF2D7ACF2}"/>
    <cellStyle name="Финансовый 2 3 2 4 4 4" xfId="3970" xr:uid="{3E2EA4B5-0D24-48E1-9527-91DFF2D7ACF2}"/>
    <cellStyle name="Финансовый 2 3 2 4 5" xfId="1329" xr:uid="{3E2EA4B5-0D24-48E1-9527-91DFF2D7ACF2}"/>
    <cellStyle name="Финансовый 2 3 2 4 5 2" xfId="2188" xr:uid="{3E2EA4B5-0D24-48E1-9527-91DFF2D7ACF2}"/>
    <cellStyle name="Финансовый 2 3 2 4 5 2 2" xfId="5182" xr:uid="{3E2EA4B5-0D24-48E1-9527-91DFF2D7ACF2}"/>
    <cellStyle name="Финансовый 2 3 2 4 5 3" xfId="4324" xr:uid="{3E2EA4B5-0D24-48E1-9527-91DFF2D7ACF2}"/>
    <cellStyle name="Финансовый 2 3 2 4 6" xfId="1749" xr:uid="{3E2EA4B5-0D24-48E1-9527-91DFF2D7ACF2}"/>
    <cellStyle name="Финансовый 2 3 2 4 6 2" xfId="4744" xr:uid="{3E2EA4B5-0D24-48E1-9527-91DFF2D7ACF2}"/>
    <cellStyle name="Финансовый 2 3 2 4 7" xfId="2615" xr:uid="{3E2EA4B5-0D24-48E1-9527-91DFF2D7ACF2}"/>
    <cellStyle name="Финансовый 2 3 2 4 7 2" xfId="5609" xr:uid="{3E2EA4B5-0D24-48E1-9527-91DFF2D7ACF2}"/>
    <cellStyle name="Финансовый 2 3 2 4 8" xfId="3531" xr:uid="{3E2EA4B5-0D24-48E1-9527-91DFF2D7ACF2}"/>
    <cellStyle name="Финансовый 2 3 2 5" xfId="814" xr:uid="{3E2EA4B5-0D24-48E1-9527-91DFF2D7ACF2}"/>
    <cellStyle name="Финансовый 2 3 2 5 2" xfId="1168" xr:uid="{3E2EA4B5-0D24-48E1-9527-91DFF2D7ACF2}"/>
    <cellStyle name="Финансовый 2 3 2 5 2 2" xfId="2048" xr:uid="{3E2EA4B5-0D24-48E1-9527-91DFF2D7ACF2}"/>
    <cellStyle name="Финансовый 2 3 2 5 2 2 2" xfId="5042" xr:uid="{3E2EA4B5-0D24-48E1-9527-91DFF2D7ACF2}"/>
    <cellStyle name="Финансовый 2 3 2 5 2 3" xfId="4163" xr:uid="{3E2EA4B5-0D24-48E1-9527-91DFF2D7ACF2}"/>
    <cellStyle name="Финансовый 2 3 2 5 3" xfId="1608" xr:uid="{3E2EA4B5-0D24-48E1-9527-91DFF2D7ACF2}"/>
    <cellStyle name="Финансовый 2 3 2 5 3 2" xfId="2308" xr:uid="{3E2EA4B5-0D24-48E1-9527-91DFF2D7ACF2}"/>
    <cellStyle name="Финансовый 2 3 2 5 3 2 2" xfId="5302" xr:uid="{3E2EA4B5-0D24-48E1-9527-91DFF2D7ACF2}"/>
    <cellStyle name="Финансовый 2 3 2 5 3 3" xfId="4603" xr:uid="{3E2EA4B5-0D24-48E1-9527-91DFF2D7ACF2}"/>
    <cellStyle name="Финансовый 2 3 2 5 4" xfId="1869" xr:uid="{3E2EA4B5-0D24-48E1-9527-91DFF2D7ACF2}"/>
    <cellStyle name="Финансовый 2 3 2 5 4 2" xfId="4864" xr:uid="{3E2EA4B5-0D24-48E1-9527-91DFF2D7ACF2}"/>
    <cellStyle name="Финансовый 2 3 2 5 5" xfId="2999" xr:uid="{3E2EA4B5-0D24-48E1-9527-91DFF2D7ACF2}"/>
    <cellStyle name="Финансовый 2 3 2 5 5 2" xfId="5993" xr:uid="{3E2EA4B5-0D24-48E1-9527-91DFF2D7ACF2}"/>
    <cellStyle name="Финансовый 2 3 2 5 6" xfId="3810" xr:uid="{3E2EA4B5-0D24-48E1-9527-91DFF2D7ACF2}"/>
    <cellStyle name="Финансовый 2 3 2 6" xfId="708" xr:uid="{3E2EA4B5-0D24-48E1-9527-91DFF2D7ACF2}"/>
    <cellStyle name="Финансовый 2 3 2 6 2" xfId="1503" xr:uid="{3E2EA4B5-0D24-48E1-9527-91DFF2D7ACF2}"/>
    <cellStyle name="Финансовый 2 3 2 6 2 2" xfId="2224" xr:uid="{3E2EA4B5-0D24-48E1-9527-91DFF2D7ACF2}"/>
    <cellStyle name="Финансовый 2 3 2 6 2 2 2" xfId="5218" xr:uid="{3E2EA4B5-0D24-48E1-9527-91DFF2D7ACF2}"/>
    <cellStyle name="Финансовый 2 3 2 6 2 3" xfId="4498" xr:uid="{3E2EA4B5-0D24-48E1-9527-91DFF2D7ACF2}"/>
    <cellStyle name="Финансовый 2 3 2 6 3" xfId="1785" xr:uid="{3E2EA4B5-0D24-48E1-9527-91DFF2D7ACF2}"/>
    <cellStyle name="Финансовый 2 3 2 6 3 2" xfId="4780" xr:uid="{3E2EA4B5-0D24-48E1-9527-91DFF2D7ACF2}"/>
    <cellStyle name="Финансовый 2 3 2 6 4" xfId="2894" xr:uid="{3E2EA4B5-0D24-48E1-9527-91DFF2D7ACF2}"/>
    <cellStyle name="Финансовый 2 3 2 6 4 2" xfId="5888" xr:uid="{3E2EA4B5-0D24-48E1-9527-91DFF2D7ACF2}"/>
    <cellStyle name="Финансовый 2 3 2 6 5" xfId="3705" xr:uid="{3E2EA4B5-0D24-48E1-9527-91DFF2D7ACF2}"/>
    <cellStyle name="Финансовый 2 3 2 7" xfId="912" xr:uid="{3E2EA4B5-0D24-48E1-9527-91DFF2D7ACF2}"/>
    <cellStyle name="Финансовый 2 3 2 7 2" xfId="1960" xr:uid="{3E2EA4B5-0D24-48E1-9527-91DFF2D7ACF2}"/>
    <cellStyle name="Финансовый 2 3 2 7 2 2" xfId="4954" xr:uid="{3E2EA4B5-0D24-48E1-9527-91DFF2D7ACF2}"/>
    <cellStyle name="Финансовый 2 3 2 7 3" xfId="2664" xr:uid="{3E2EA4B5-0D24-48E1-9527-91DFF2D7ACF2}"/>
    <cellStyle name="Финансовый 2 3 2 7 3 2" xfId="5658" xr:uid="{3E2EA4B5-0D24-48E1-9527-91DFF2D7ACF2}"/>
    <cellStyle name="Финансовый 2 3 2 7 4" xfId="3907" xr:uid="{3E2EA4B5-0D24-48E1-9527-91DFF2D7ACF2}"/>
    <cellStyle name="Финансовый 2 3 2 8" xfId="1273" xr:uid="{3E2EA4B5-0D24-48E1-9527-91DFF2D7ACF2}"/>
    <cellStyle name="Финансовый 2 3 2 8 2" xfId="2132" xr:uid="{3E2EA4B5-0D24-48E1-9527-91DFF2D7ACF2}"/>
    <cellStyle name="Финансовый 2 3 2 8 2 2" xfId="5126" xr:uid="{3E2EA4B5-0D24-48E1-9527-91DFF2D7ACF2}"/>
    <cellStyle name="Финансовый 2 3 2 8 3" xfId="4268" xr:uid="{3E2EA4B5-0D24-48E1-9527-91DFF2D7ACF2}"/>
    <cellStyle name="Финансовый 2 3 2 9" xfId="1693" xr:uid="{3E2EA4B5-0D24-48E1-9527-91DFF2D7ACF2}"/>
    <cellStyle name="Финансовый 2 3 2 9 2" xfId="4688" xr:uid="{3E2EA4B5-0D24-48E1-9527-91DFF2D7ACF2}"/>
    <cellStyle name="Финансовый 2 3 3" xfId="481" xr:uid="{3E2EA4B5-0D24-48E1-9527-91DFF2D7ACF2}"/>
    <cellStyle name="Финансовый 2 3 3 10" xfId="3482" xr:uid="{3E2EA4B5-0D24-48E1-9527-91DFF2D7ACF2}"/>
    <cellStyle name="Финансовый 2 3 3 2" xfId="511" xr:uid="{3E2EA4B5-0D24-48E1-9527-91DFF2D7ACF2}"/>
    <cellStyle name="Финансовый 2 3 3 2 2" xfId="849" xr:uid="{3E2EA4B5-0D24-48E1-9527-91DFF2D7ACF2}"/>
    <cellStyle name="Финансовый 2 3 3 2 2 2" xfId="1203" xr:uid="{3E2EA4B5-0D24-48E1-9527-91DFF2D7ACF2}"/>
    <cellStyle name="Финансовый 2 3 3 2 2 2 2" xfId="2083" xr:uid="{3E2EA4B5-0D24-48E1-9527-91DFF2D7ACF2}"/>
    <cellStyle name="Финансовый 2 3 3 2 2 2 2 2" xfId="5077" xr:uid="{3E2EA4B5-0D24-48E1-9527-91DFF2D7ACF2}"/>
    <cellStyle name="Финансовый 2 3 3 2 2 2 3" xfId="4198" xr:uid="{3E2EA4B5-0D24-48E1-9527-91DFF2D7ACF2}"/>
    <cellStyle name="Финансовый 2 3 3 2 2 3" xfId="1643" xr:uid="{3E2EA4B5-0D24-48E1-9527-91DFF2D7ACF2}"/>
    <cellStyle name="Финансовый 2 3 3 2 2 3 2" xfId="2343" xr:uid="{3E2EA4B5-0D24-48E1-9527-91DFF2D7ACF2}"/>
    <cellStyle name="Финансовый 2 3 3 2 2 3 2 2" xfId="5337" xr:uid="{3E2EA4B5-0D24-48E1-9527-91DFF2D7ACF2}"/>
    <cellStyle name="Финансовый 2 3 3 2 2 3 3" xfId="4638" xr:uid="{3E2EA4B5-0D24-48E1-9527-91DFF2D7ACF2}"/>
    <cellStyle name="Финансовый 2 3 3 2 2 4" xfId="1904" xr:uid="{3E2EA4B5-0D24-48E1-9527-91DFF2D7ACF2}"/>
    <cellStyle name="Финансовый 2 3 3 2 2 4 2" xfId="4899" xr:uid="{3E2EA4B5-0D24-48E1-9527-91DFF2D7ACF2}"/>
    <cellStyle name="Финансовый 2 3 3 2 2 5" xfId="3034" xr:uid="{3E2EA4B5-0D24-48E1-9527-91DFF2D7ACF2}"/>
    <cellStyle name="Финансовый 2 3 3 2 2 5 2" xfId="6028" xr:uid="{3E2EA4B5-0D24-48E1-9527-91DFF2D7ACF2}"/>
    <cellStyle name="Финансовый 2 3 3 2 2 6" xfId="3845" xr:uid="{3E2EA4B5-0D24-48E1-9527-91DFF2D7ACF2}"/>
    <cellStyle name="Финансовый 2 3 3 2 3" xfId="744" xr:uid="{3E2EA4B5-0D24-48E1-9527-91DFF2D7ACF2}"/>
    <cellStyle name="Финансовый 2 3 3 2 3 2" xfId="1538" xr:uid="{3E2EA4B5-0D24-48E1-9527-91DFF2D7ACF2}"/>
    <cellStyle name="Финансовый 2 3 3 2 3 2 2" xfId="2259" xr:uid="{3E2EA4B5-0D24-48E1-9527-91DFF2D7ACF2}"/>
    <cellStyle name="Финансовый 2 3 3 2 3 2 2 2" xfId="5253" xr:uid="{3E2EA4B5-0D24-48E1-9527-91DFF2D7ACF2}"/>
    <cellStyle name="Финансовый 2 3 3 2 3 2 3" xfId="4533" xr:uid="{3E2EA4B5-0D24-48E1-9527-91DFF2D7ACF2}"/>
    <cellStyle name="Финансовый 2 3 3 2 3 3" xfId="1820" xr:uid="{3E2EA4B5-0D24-48E1-9527-91DFF2D7ACF2}"/>
    <cellStyle name="Финансовый 2 3 3 2 3 3 2" xfId="4815" xr:uid="{3E2EA4B5-0D24-48E1-9527-91DFF2D7ACF2}"/>
    <cellStyle name="Финансовый 2 3 3 2 3 4" xfId="2929" xr:uid="{3E2EA4B5-0D24-48E1-9527-91DFF2D7ACF2}"/>
    <cellStyle name="Финансовый 2 3 3 2 3 4 2" xfId="5923" xr:uid="{3E2EA4B5-0D24-48E1-9527-91DFF2D7ACF2}"/>
    <cellStyle name="Финансовый 2 3 3 2 3 5" xfId="3740" xr:uid="{3E2EA4B5-0D24-48E1-9527-91DFF2D7ACF2}"/>
    <cellStyle name="Финансовый 2 3 3 2 4" xfId="900" xr:uid="{3E2EA4B5-0D24-48E1-9527-91DFF2D7ACF2}"/>
    <cellStyle name="Финансовый 2 3 3 2 4 2" xfId="1951" xr:uid="{3E2EA4B5-0D24-48E1-9527-91DFF2D7ACF2}"/>
    <cellStyle name="Финансовый 2 3 3 2 4 2 2" xfId="4946" xr:uid="{3E2EA4B5-0D24-48E1-9527-91DFF2D7ACF2}"/>
    <cellStyle name="Финансовый 2 3 3 2 4 3" xfId="2699" xr:uid="{3E2EA4B5-0D24-48E1-9527-91DFF2D7ACF2}"/>
    <cellStyle name="Финансовый 2 3 3 2 4 3 2" xfId="5693" xr:uid="{3E2EA4B5-0D24-48E1-9527-91DFF2D7ACF2}"/>
    <cellStyle name="Финансовый 2 3 3 2 4 4" xfId="3896" xr:uid="{3E2EA4B5-0D24-48E1-9527-91DFF2D7ACF2}"/>
    <cellStyle name="Финансовый 2 3 3 2 5" xfId="1308" xr:uid="{3E2EA4B5-0D24-48E1-9527-91DFF2D7ACF2}"/>
    <cellStyle name="Финансовый 2 3 3 2 5 2" xfId="2167" xr:uid="{3E2EA4B5-0D24-48E1-9527-91DFF2D7ACF2}"/>
    <cellStyle name="Финансовый 2 3 3 2 5 2 2" xfId="5161" xr:uid="{3E2EA4B5-0D24-48E1-9527-91DFF2D7ACF2}"/>
    <cellStyle name="Финансовый 2 3 3 2 5 3" xfId="4303" xr:uid="{3E2EA4B5-0D24-48E1-9527-91DFF2D7ACF2}"/>
    <cellStyle name="Финансовый 2 3 3 2 6" xfId="1728" xr:uid="{3E2EA4B5-0D24-48E1-9527-91DFF2D7ACF2}"/>
    <cellStyle name="Финансовый 2 3 3 2 6 2" xfId="4723" xr:uid="{3E2EA4B5-0D24-48E1-9527-91DFF2D7ACF2}"/>
    <cellStyle name="Финансовый 2 3 3 2 7" xfId="2594" xr:uid="{3E2EA4B5-0D24-48E1-9527-91DFF2D7ACF2}"/>
    <cellStyle name="Финансовый 2 3 3 2 7 2" xfId="5588" xr:uid="{3E2EA4B5-0D24-48E1-9527-91DFF2D7ACF2}"/>
    <cellStyle name="Финансовый 2 3 3 2 8" xfId="3510" xr:uid="{3E2EA4B5-0D24-48E1-9527-91DFF2D7ACF2}"/>
    <cellStyle name="Финансовый 2 3 3 3" xfId="539" xr:uid="{3E2EA4B5-0D24-48E1-9527-91DFF2D7ACF2}"/>
    <cellStyle name="Финансовый 2 3 3 3 2" xfId="877" xr:uid="{3E2EA4B5-0D24-48E1-9527-91DFF2D7ACF2}"/>
    <cellStyle name="Финансовый 2 3 3 3 2 2" xfId="1231" xr:uid="{3E2EA4B5-0D24-48E1-9527-91DFF2D7ACF2}"/>
    <cellStyle name="Финансовый 2 3 3 3 2 2 2" xfId="2111" xr:uid="{3E2EA4B5-0D24-48E1-9527-91DFF2D7ACF2}"/>
    <cellStyle name="Финансовый 2 3 3 3 2 2 2 2" xfId="5105" xr:uid="{3E2EA4B5-0D24-48E1-9527-91DFF2D7ACF2}"/>
    <cellStyle name="Финансовый 2 3 3 3 2 2 3" xfId="4226" xr:uid="{3E2EA4B5-0D24-48E1-9527-91DFF2D7ACF2}"/>
    <cellStyle name="Финансовый 2 3 3 3 2 3" xfId="1671" xr:uid="{3E2EA4B5-0D24-48E1-9527-91DFF2D7ACF2}"/>
    <cellStyle name="Финансовый 2 3 3 3 2 3 2" xfId="2371" xr:uid="{3E2EA4B5-0D24-48E1-9527-91DFF2D7ACF2}"/>
    <cellStyle name="Финансовый 2 3 3 3 2 3 2 2" xfId="5365" xr:uid="{3E2EA4B5-0D24-48E1-9527-91DFF2D7ACF2}"/>
    <cellStyle name="Финансовый 2 3 3 3 2 3 3" xfId="4666" xr:uid="{3E2EA4B5-0D24-48E1-9527-91DFF2D7ACF2}"/>
    <cellStyle name="Финансовый 2 3 3 3 2 4" xfId="1932" xr:uid="{3E2EA4B5-0D24-48E1-9527-91DFF2D7ACF2}"/>
    <cellStyle name="Финансовый 2 3 3 3 2 4 2" xfId="4927" xr:uid="{3E2EA4B5-0D24-48E1-9527-91DFF2D7ACF2}"/>
    <cellStyle name="Финансовый 2 3 3 3 2 5" xfId="3062" xr:uid="{3E2EA4B5-0D24-48E1-9527-91DFF2D7ACF2}"/>
    <cellStyle name="Финансовый 2 3 3 3 2 5 2" xfId="6056" xr:uid="{3E2EA4B5-0D24-48E1-9527-91DFF2D7ACF2}"/>
    <cellStyle name="Финансовый 2 3 3 3 2 6" xfId="3873" xr:uid="{3E2EA4B5-0D24-48E1-9527-91DFF2D7ACF2}"/>
    <cellStyle name="Финансовый 2 3 3 3 3" xfId="772" xr:uid="{3E2EA4B5-0D24-48E1-9527-91DFF2D7ACF2}"/>
    <cellStyle name="Финансовый 2 3 3 3 3 2" xfId="1566" xr:uid="{3E2EA4B5-0D24-48E1-9527-91DFF2D7ACF2}"/>
    <cellStyle name="Финансовый 2 3 3 3 3 2 2" xfId="2287" xr:uid="{3E2EA4B5-0D24-48E1-9527-91DFF2D7ACF2}"/>
    <cellStyle name="Финансовый 2 3 3 3 3 2 2 2" xfId="5281" xr:uid="{3E2EA4B5-0D24-48E1-9527-91DFF2D7ACF2}"/>
    <cellStyle name="Финансовый 2 3 3 3 3 2 3" xfId="4561" xr:uid="{3E2EA4B5-0D24-48E1-9527-91DFF2D7ACF2}"/>
    <cellStyle name="Финансовый 2 3 3 3 3 3" xfId="1848" xr:uid="{3E2EA4B5-0D24-48E1-9527-91DFF2D7ACF2}"/>
    <cellStyle name="Финансовый 2 3 3 3 3 3 2" xfId="4843" xr:uid="{3E2EA4B5-0D24-48E1-9527-91DFF2D7ACF2}"/>
    <cellStyle name="Финансовый 2 3 3 3 3 4" xfId="2957" xr:uid="{3E2EA4B5-0D24-48E1-9527-91DFF2D7ACF2}"/>
    <cellStyle name="Финансовый 2 3 3 3 3 4 2" xfId="5951" xr:uid="{3E2EA4B5-0D24-48E1-9527-91DFF2D7ACF2}"/>
    <cellStyle name="Финансовый 2 3 3 3 3 5" xfId="3768" xr:uid="{3E2EA4B5-0D24-48E1-9527-91DFF2D7ACF2}"/>
    <cellStyle name="Финансовый 2 3 3 3 4" xfId="982" xr:uid="{3E2EA4B5-0D24-48E1-9527-91DFF2D7ACF2}"/>
    <cellStyle name="Финансовый 2 3 3 3 4 2" xfId="2017" xr:uid="{3E2EA4B5-0D24-48E1-9527-91DFF2D7ACF2}"/>
    <cellStyle name="Финансовый 2 3 3 3 4 2 2" xfId="5011" xr:uid="{3E2EA4B5-0D24-48E1-9527-91DFF2D7ACF2}"/>
    <cellStyle name="Финансовый 2 3 3 3 4 3" xfId="2727" xr:uid="{3E2EA4B5-0D24-48E1-9527-91DFF2D7ACF2}"/>
    <cellStyle name="Финансовый 2 3 3 3 4 3 2" xfId="5721" xr:uid="{3E2EA4B5-0D24-48E1-9527-91DFF2D7ACF2}"/>
    <cellStyle name="Финансовый 2 3 3 3 4 4" xfId="3977" xr:uid="{3E2EA4B5-0D24-48E1-9527-91DFF2D7ACF2}"/>
    <cellStyle name="Финансовый 2 3 3 3 5" xfId="1336" xr:uid="{3E2EA4B5-0D24-48E1-9527-91DFF2D7ACF2}"/>
    <cellStyle name="Финансовый 2 3 3 3 5 2" xfId="2195" xr:uid="{3E2EA4B5-0D24-48E1-9527-91DFF2D7ACF2}"/>
    <cellStyle name="Финансовый 2 3 3 3 5 2 2" xfId="5189" xr:uid="{3E2EA4B5-0D24-48E1-9527-91DFF2D7ACF2}"/>
    <cellStyle name="Финансовый 2 3 3 3 5 3" xfId="4331" xr:uid="{3E2EA4B5-0D24-48E1-9527-91DFF2D7ACF2}"/>
    <cellStyle name="Финансовый 2 3 3 3 6" xfId="1756" xr:uid="{3E2EA4B5-0D24-48E1-9527-91DFF2D7ACF2}"/>
    <cellStyle name="Финансовый 2 3 3 3 6 2" xfId="4751" xr:uid="{3E2EA4B5-0D24-48E1-9527-91DFF2D7ACF2}"/>
    <cellStyle name="Финансовый 2 3 3 3 7" xfId="2622" xr:uid="{3E2EA4B5-0D24-48E1-9527-91DFF2D7ACF2}"/>
    <cellStyle name="Финансовый 2 3 3 3 7 2" xfId="5616" xr:uid="{3E2EA4B5-0D24-48E1-9527-91DFF2D7ACF2}"/>
    <cellStyle name="Финансовый 2 3 3 3 8" xfId="3538" xr:uid="{3E2EA4B5-0D24-48E1-9527-91DFF2D7ACF2}"/>
    <cellStyle name="Финансовый 2 3 3 4" xfId="821" xr:uid="{3E2EA4B5-0D24-48E1-9527-91DFF2D7ACF2}"/>
    <cellStyle name="Финансовый 2 3 3 4 2" xfId="1175" xr:uid="{3E2EA4B5-0D24-48E1-9527-91DFF2D7ACF2}"/>
    <cellStyle name="Финансовый 2 3 3 4 2 2" xfId="2055" xr:uid="{3E2EA4B5-0D24-48E1-9527-91DFF2D7ACF2}"/>
    <cellStyle name="Финансовый 2 3 3 4 2 2 2" xfId="5049" xr:uid="{3E2EA4B5-0D24-48E1-9527-91DFF2D7ACF2}"/>
    <cellStyle name="Финансовый 2 3 3 4 2 3" xfId="4170" xr:uid="{3E2EA4B5-0D24-48E1-9527-91DFF2D7ACF2}"/>
    <cellStyle name="Финансовый 2 3 3 4 3" xfId="1615" xr:uid="{3E2EA4B5-0D24-48E1-9527-91DFF2D7ACF2}"/>
    <cellStyle name="Финансовый 2 3 3 4 3 2" xfId="2315" xr:uid="{3E2EA4B5-0D24-48E1-9527-91DFF2D7ACF2}"/>
    <cellStyle name="Финансовый 2 3 3 4 3 2 2" xfId="5309" xr:uid="{3E2EA4B5-0D24-48E1-9527-91DFF2D7ACF2}"/>
    <cellStyle name="Финансовый 2 3 3 4 3 3" xfId="4610" xr:uid="{3E2EA4B5-0D24-48E1-9527-91DFF2D7ACF2}"/>
    <cellStyle name="Финансовый 2 3 3 4 4" xfId="1876" xr:uid="{3E2EA4B5-0D24-48E1-9527-91DFF2D7ACF2}"/>
    <cellStyle name="Финансовый 2 3 3 4 4 2" xfId="4871" xr:uid="{3E2EA4B5-0D24-48E1-9527-91DFF2D7ACF2}"/>
    <cellStyle name="Финансовый 2 3 3 4 5" xfId="3006" xr:uid="{3E2EA4B5-0D24-48E1-9527-91DFF2D7ACF2}"/>
    <cellStyle name="Финансовый 2 3 3 4 5 2" xfId="6000" xr:uid="{3E2EA4B5-0D24-48E1-9527-91DFF2D7ACF2}"/>
    <cellStyle name="Финансовый 2 3 3 4 6" xfId="3817" xr:uid="{3E2EA4B5-0D24-48E1-9527-91DFF2D7ACF2}"/>
    <cellStyle name="Финансовый 2 3 3 5" xfId="715" xr:uid="{3E2EA4B5-0D24-48E1-9527-91DFF2D7ACF2}"/>
    <cellStyle name="Финансовый 2 3 3 5 2" xfId="1510" xr:uid="{3E2EA4B5-0D24-48E1-9527-91DFF2D7ACF2}"/>
    <cellStyle name="Финансовый 2 3 3 5 2 2" xfId="2231" xr:uid="{3E2EA4B5-0D24-48E1-9527-91DFF2D7ACF2}"/>
    <cellStyle name="Финансовый 2 3 3 5 2 2 2" xfId="5225" xr:uid="{3E2EA4B5-0D24-48E1-9527-91DFF2D7ACF2}"/>
    <cellStyle name="Финансовый 2 3 3 5 2 3" xfId="4505" xr:uid="{3E2EA4B5-0D24-48E1-9527-91DFF2D7ACF2}"/>
    <cellStyle name="Финансовый 2 3 3 5 3" xfId="1792" xr:uid="{3E2EA4B5-0D24-48E1-9527-91DFF2D7ACF2}"/>
    <cellStyle name="Финансовый 2 3 3 5 3 2" xfId="4787" xr:uid="{3E2EA4B5-0D24-48E1-9527-91DFF2D7ACF2}"/>
    <cellStyle name="Финансовый 2 3 3 5 4" xfId="2901" xr:uid="{3E2EA4B5-0D24-48E1-9527-91DFF2D7ACF2}"/>
    <cellStyle name="Финансовый 2 3 3 5 4 2" xfId="5895" xr:uid="{3E2EA4B5-0D24-48E1-9527-91DFF2D7ACF2}"/>
    <cellStyle name="Финансовый 2 3 3 5 5" xfId="3712" xr:uid="{3E2EA4B5-0D24-48E1-9527-91DFF2D7ACF2}"/>
    <cellStyle name="Финансовый 2 3 3 6" xfId="915" xr:uid="{3E2EA4B5-0D24-48E1-9527-91DFF2D7ACF2}"/>
    <cellStyle name="Финансовый 2 3 3 6 2" xfId="1962" xr:uid="{3E2EA4B5-0D24-48E1-9527-91DFF2D7ACF2}"/>
    <cellStyle name="Финансовый 2 3 3 6 2 2" xfId="4956" xr:uid="{3E2EA4B5-0D24-48E1-9527-91DFF2D7ACF2}"/>
    <cellStyle name="Финансовый 2 3 3 6 3" xfId="2671" xr:uid="{3E2EA4B5-0D24-48E1-9527-91DFF2D7ACF2}"/>
    <cellStyle name="Финансовый 2 3 3 6 3 2" xfId="5665" xr:uid="{3E2EA4B5-0D24-48E1-9527-91DFF2D7ACF2}"/>
    <cellStyle name="Финансовый 2 3 3 6 4" xfId="3910" xr:uid="{3E2EA4B5-0D24-48E1-9527-91DFF2D7ACF2}"/>
    <cellStyle name="Финансовый 2 3 3 7" xfId="1280" xr:uid="{3E2EA4B5-0D24-48E1-9527-91DFF2D7ACF2}"/>
    <cellStyle name="Финансовый 2 3 3 7 2" xfId="2139" xr:uid="{3E2EA4B5-0D24-48E1-9527-91DFF2D7ACF2}"/>
    <cellStyle name="Финансовый 2 3 3 7 2 2" xfId="5133" xr:uid="{3E2EA4B5-0D24-48E1-9527-91DFF2D7ACF2}"/>
    <cellStyle name="Финансовый 2 3 3 7 3" xfId="4275" xr:uid="{3E2EA4B5-0D24-48E1-9527-91DFF2D7ACF2}"/>
    <cellStyle name="Финансовый 2 3 3 8" xfId="1700" xr:uid="{3E2EA4B5-0D24-48E1-9527-91DFF2D7ACF2}"/>
    <cellStyle name="Финансовый 2 3 3 8 2" xfId="4695" xr:uid="{3E2EA4B5-0D24-48E1-9527-91DFF2D7ACF2}"/>
    <cellStyle name="Финансовый 2 3 3 9" xfId="2566" xr:uid="{3E2EA4B5-0D24-48E1-9527-91DFF2D7ACF2}"/>
    <cellStyle name="Финансовый 2 3 3 9 2" xfId="5560" xr:uid="{3E2EA4B5-0D24-48E1-9527-91DFF2D7ACF2}"/>
    <cellStyle name="Финансовый 2 3 4" xfId="495" xr:uid="{3E2EA4B5-0D24-48E1-9527-91DFF2D7ACF2}"/>
    <cellStyle name="Финансовый 2 3 4 2" xfId="835" xr:uid="{3E2EA4B5-0D24-48E1-9527-91DFF2D7ACF2}"/>
    <cellStyle name="Финансовый 2 3 4 2 2" xfId="1189" xr:uid="{3E2EA4B5-0D24-48E1-9527-91DFF2D7ACF2}"/>
    <cellStyle name="Финансовый 2 3 4 2 2 2" xfId="2069" xr:uid="{3E2EA4B5-0D24-48E1-9527-91DFF2D7ACF2}"/>
    <cellStyle name="Финансовый 2 3 4 2 2 2 2" xfId="5063" xr:uid="{3E2EA4B5-0D24-48E1-9527-91DFF2D7ACF2}"/>
    <cellStyle name="Финансовый 2 3 4 2 2 3" xfId="4184" xr:uid="{3E2EA4B5-0D24-48E1-9527-91DFF2D7ACF2}"/>
    <cellStyle name="Финансовый 2 3 4 2 3" xfId="1629" xr:uid="{3E2EA4B5-0D24-48E1-9527-91DFF2D7ACF2}"/>
    <cellStyle name="Финансовый 2 3 4 2 3 2" xfId="2329" xr:uid="{3E2EA4B5-0D24-48E1-9527-91DFF2D7ACF2}"/>
    <cellStyle name="Финансовый 2 3 4 2 3 2 2" xfId="5323" xr:uid="{3E2EA4B5-0D24-48E1-9527-91DFF2D7ACF2}"/>
    <cellStyle name="Финансовый 2 3 4 2 3 3" xfId="4624" xr:uid="{3E2EA4B5-0D24-48E1-9527-91DFF2D7ACF2}"/>
    <cellStyle name="Финансовый 2 3 4 2 4" xfId="1890" xr:uid="{3E2EA4B5-0D24-48E1-9527-91DFF2D7ACF2}"/>
    <cellStyle name="Финансовый 2 3 4 2 4 2" xfId="4885" xr:uid="{3E2EA4B5-0D24-48E1-9527-91DFF2D7ACF2}"/>
    <cellStyle name="Финансовый 2 3 4 2 5" xfId="3020" xr:uid="{3E2EA4B5-0D24-48E1-9527-91DFF2D7ACF2}"/>
    <cellStyle name="Финансовый 2 3 4 2 5 2" xfId="6014" xr:uid="{3E2EA4B5-0D24-48E1-9527-91DFF2D7ACF2}"/>
    <cellStyle name="Финансовый 2 3 4 2 6" xfId="3831" xr:uid="{3E2EA4B5-0D24-48E1-9527-91DFF2D7ACF2}"/>
    <cellStyle name="Финансовый 2 3 4 3" xfId="729" xr:uid="{3E2EA4B5-0D24-48E1-9527-91DFF2D7ACF2}"/>
    <cellStyle name="Финансовый 2 3 4 3 2" xfId="1524" xr:uid="{3E2EA4B5-0D24-48E1-9527-91DFF2D7ACF2}"/>
    <cellStyle name="Финансовый 2 3 4 3 2 2" xfId="2245" xr:uid="{3E2EA4B5-0D24-48E1-9527-91DFF2D7ACF2}"/>
    <cellStyle name="Финансовый 2 3 4 3 2 2 2" xfId="5239" xr:uid="{3E2EA4B5-0D24-48E1-9527-91DFF2D7ACF2}"/>
    <cellStyle name="Финансовый 2 3 4 3 2 3" xfId="4519" xr:uid="{3E2EA4B5-0D24-48E1-9527-91DFF2D7ACF2}"/>
    <cellStyle name="Финансовый 2 3 4 3 3" xfId="1806" xr:uid="{3E2EA4B5-0D24-48E1-9527-91DFF2D7ACF2}"/>
    <cellStyle name="Финансовый 2 3 4 3 3 2" xfId="4801" xr:uid="{3E2EA4B5-0D24-48E1-9527-91DFF2D7ACF2}"/>
    <cellStyle name="Финансовый 2 3 4 3 4" xfId="2915" xr:uid="{3E2EA4B5-0D24-48E1-9527-91DFF2D7ACF2}"/>
    <cellStyle name="Финансовый 2 3 4 3 4 2" xfId="5909" xr:uid="{3E2EA4B5-0D24-48E1-9527-91DFF2D7ACF2}"/>
    <cellStyle name="Финансовый 2 3 4 3 5" xfId="3726" xr:uid="{3E2EA4B5-0D24-48E1-9527-91DFF2D7ACF2}"/>
    <cellStyle name="Финансовый 2 3 4 4" xfId="929" xr:uid="{3E2EA4B5-0D24-48E1-9527-91DFF2D7ACF2}"/>
    <cellStyle name="Финансовый 2 3 4 4 2" xfId="1975" xr:uid="{3E2EA4B5-0D24-48E1-9527-91DFF2D7ACF2}"/>
    <cellStyle name="Финансовый 2 3 4 4 2 2" xfId="4969" xr:uid="{3E2EA4B5-0D24-48E1-9527-91DFF2D7ACF2}"/>
    <cellStyle name="Финансовый 2 3 4 4 3" xfId="2685" xr:uid="{3E2EA4B5-0D24-48E1-9527-91DFF2D7ACF2}"/>
    <cellStyle name="Финансовый 2 3 4 4 3 2" xfId="5679" xr:uid="{3E2EA4B5-0D24-48E1-9527-91DFF2D7ACF2}"/>
    <cellStyle name="Финансовый 2 3 4 4 4" xfId="3924" xr:uid="{3E2EA4B5-0D24-48E1-9527-91DFF2D7ACF2}"/>
    <cellStyle name="Финансовый 2 3 4 5" xfId="1294" xr:uid="{3E2EA4B5-0D24-48E1-9527-91DFF2D7ACF2}"/>
    <cellStyle name="Финансовый 2 3 4 5 2" xfId="2153" xr:uid="{3E2EA4B5-0D24-48E1-9527-91DFF2D7ACF2}"/>
    <cellStyle name="Финансовый 2 3 4 5 2 2" xfId="5147" xr:uid="{3E2EA4B5-0D24-48E1-9527-91DFF2D7ACF2}"/>
    <cellStyle name="Финансовый 2 3 4 5 3" xfId="4289" xr:uid="{3E2EA4B5-0D24-48E1-9527-91DFF2D7ACF2}"/>
    <cellStyle name="Финансовый 2 3 4 6" xfId="1714" xr:uid="{3E2EA4B5-0D24-48E1-9527-91DFF2D7ACF2}"/>
    <cellStyle name="Финансовый 2 3 4 6 2" xfId="4709" xr:uid="{3E2EA4B5-0D24-48E1-9527-91DFF2D7ACF2}"/>
    <cellStyle name="Финансовый 2 3 4 7" xfId="2580" xr:uid="{3E2EA4B5-0D24-48E1-9527-91DFF2D7ACF2}"/>
    <cellStyle name="Финансовый 2 3 4 7 2" xfId="5574" xr:uid="{3E2EA4B5-0D24-48E1-9527-91DFF2D7ACF2}"/>
    <cellStyle name="Финансовый 2 3 4 8" xfId="3496" xr:uid="{3E2EA4B5-0D24-48E1-9527-91DFF2D7ACF2}"/>
    <cellStyle name="Финансовый 2 3 5" xfId="525" xr:uid="{3E2EA4B5-0D24-48E1-9527-91DFF2D7ACF2}"/>
    <cellStyle name="Финансовый 2 3 5 2" xfId="863" xr:uid="{3E2EA4B5-0D24-48E1-9527-91DFF2D7ACF2}"/>
    <cellStyle name="Финансовый 2 3 5 2 2" xfId="1217" xr:uid="{3E2EA4B5-0D24-48E1-9527-91DFF2D7ACF2}"/>
    <cellStyle name="Финансовый 2 3 5 2 2 2" xfId="2097" xr:uid="{3E2EA4B5-0D24-48E1-9527-91DFF2D7ACF2}"/>
    <cellStyle name="Финансовый 2 3 5 2 2 2 2" xfId="5091" xr:uid="{3E2EA4B5-0D24-48E1-9527-91DFF2D7ACF2}"/>
    <cellStyle name="Финансовый 2 3 5 2 2 3" xfId="4212" xr:uid="{3E2EA4B5-0D24-48E1-9527-91DFF2D7ACF2}"/>
    <cellStyle name="Финансовый 2 3 5 2 3" xfId="1657" xr:uid="{3E2EA4B5-0D24-48E1-9527-91DFF2D7ACF2}"/>
    <cellStyle name="Финансовый 2 3 5 2 3 2" xfId="2357" xr:uid="{3E2EA4B5-0D24-48E1-9527-91DFF2D7ACF2}"/>
    <cellStyle name="Финансовый 2 3 5 2 3 2 2" xfId="5351" xr:uid="{3E2EA4B5-0D24-48E1-9527-91DFF2D7ACF2}"/>
    <cellStyle name="Финансовый 2 3 5 2 3 3" xfId="4652" xr:uid="{3E2EA4B5-0D24-48E1-9527-91DFF2D7ACF2}"/>
    <cellStyle name="Финансовый 2 3 5 2 4" xfId="1918" xr:uid="{3E2EA4B5-0D24-48E1-9527-91DFF2D7ACF2}"/>
    <cellStyle name="Финансовый 2 3 5 2 4 2" xfId="4913" xr:uid="{3E2EA4B5-0D24-48E1-9527-91DFF2D7ACF2}"/>
    <cellStyle name="Финансовый 2 3 5 2 5" xfId="3048" xr:uid="{3E2EA4B5-0D24-48E1-9527-91DFF2D7ACF2}"/>
    <cellStyle name="Финансовый 2 3 5 2 5 2" xfId="6042" xr:uid="{3E2EA4B5-0D24-48E1-9527-91DFF2D7ACF2}"/>
    <cellStyle name="Финансовый 2 3 5 2 6" xfId="3859" xr:uid="{3E2EA4B5-0D24-48E1-9527-91DFF2D7ACF2}"/>
    <cellStyle name="Финансовый 2 3 5 3" xfId="758" xr:uid="{3E2EA4B5-0D24-48E1-9527-91DFF2D7ACF2}"/>
    <cellStyle name="Финансовый 2 3 5 3 2" xfId="1552" xr:uid="{3E2EA4B5-0D24-48E1-9527-91DFF2D7ACF2}"/>
    <cellStyle name="Финансовый 2 3 5 3 2 2" xfId="2273" xr:uid="{3E2EA4B5-0D24-48E1-9527-91DFF2D7ACF2}"/>
    <cellStyle name="Финансовый 2 3 5 3 2 2 2" xfId="5267" xr:uid="{3E2EA4B5-0D24-48E1-9527-91DFF2D7ACF2}"/>
    <cellStyle name="Финансовый 2 3 5 3 2 3" xfId="4547" xr:uid="{3E2EA4B5-0D24-48E1-9527-91DFF2D7ACF2}"/>
    <cellStyle name="Финансовый 2 3 5 3 3" xfId="1834" xr:uid="{3E2EA4B5-0D24-48E1-9527-91DFF2D7ACF2}"/>
    <cellStyle name="Финансовый 2 3 5 3 3 2" xfId="4829" xr:uid="{3E2EA4B5-0D24-48E1-9527-91DFF2D7ACF2}"/>
    <cellStyle name="Финансовый 2 3 5 3 4" xfId="2943" xr:uid="{3E2EA4B5-0D24-48E1-9527-91DFF2D7ACF2}"/>
    <cellStyle name="Финансовый 2 3 5 3 4 2" xfId="5937" xr:uid="{3E2EA4B5-0D24-48E1-9527-91DFF2D7ACF2}"/>
    <cellStyle name="Финансовый 2 3 5 3 5" xfId="3754" xr:uid="{3E2EA4B5-0D24-48E1-9527-91DFF2D7ACF2}"/>
    <cellStyle name="Финансовый 2 3 5 4" xfId="968" xr:uid="{3E2EA4B5-0D24-48E1-9527-91DFF2D7ACF2}"/>
    <cellStyle name="Финансовый 2 3 5 4 2" xfId="2003" xr:uid="{3E2EA4B5-0D24-48E1-9527-91DFF2D7ACF2}"/>
    <cellStyle name="Финансовый 2 3 5 4 2 2" xfId="4997" xr:uid="{3E2EA4B5-0D24-48E1-9527-91DFF2D7ACF2}"/>
    <cellStyle name="Финансовый 2 3 5 4 3" xfId="2713" xr:uid="{3E2EA4B5-0D24-48E1-9527-91DFF2D7ACF2}"/>
    <cellStyle name="Финансовый 2 3 5 4 3 2" xfId="5707" xr:uid="{3E2EA4B5-0D24-48E1-9527-91DFF2D7ACF2}"/>
    <cellStyle name="Финансовый 2 3 5 4 4" xfId="3963" xr:uid="{3E2EA4B5-0D24-48E1-9527-91DFF2D7ACF2}"/>
    <cellStyle name="Финансовый 2 3 5 5" xfId="1322" xr:uid="{3E2EA4B5-0D24-48E1-9527-91DFF2D7ACF2}"/>
    <cellStyle name="Финансовый 2 3 5 5 2" xfId="2181" xr:uid="{3E2EA4B5-0D24-48E1-9527-91DFF2D7ACF2}"/>
    <cellStyle name="Финансовый 2 3 5 5 2 2" xfId="5175" xr:uid="{3E2EA4B5-0D24-48E1-9527-91DFF2D7ACF2}"/>
    <cellStyle name="Финансовый 2 3 5 5 3" xfId="4317" xr:uid="{3E2EA4B5-0D24-48E1-9527-91DFF2D7ACF2}"/>
    <cellStyle name="Финансовый 2 3 5 6" xfId="1742" xr:uid="{3E2EA4B5-0D24-48E1-9527-91DFF2D7ACF2}"/>
    <cellStyle name="Финансовый 2 3 5 6 2" xfId="4737" xr:uid="{3E2EA4B5-0D24-48E1-9527-91DFF2D7ACF2}"/>
    <cellStyle name="Финансовый 2 3 5 7" xfId="2608" xr:uid="{3E2EA4B5-0D24-48E1-9527-91DFF2D7ACF2}"/>
    <cellStyle name="Финансовый 2 3 5 7 2" xfId="5602" xr:uid="{3E2EA4B5-0D24-48E1-9527-91DFF2D7ACF2}"/>
    <cellStyle name="Финансовый 2 3 5 8" xfId="3524" xr:uid="{3E2EA4B5-0D24-48E1-9527-91DFF2D7ACF2}"/>
    <cellStyle name="Финансовый 2 3 6" xfId="806" xr:uid="{3E2EA4B5-0D24-48E1-9527-91DFF2D7ACF2}"/>
    <cellStyle name="Финансовый 2 3 6 2" xfId="1160" xr:uid="{3E2EA4B5-0D24-48E1-9527-91DFF2D7ACF2}"/>
    <cellStyle name="Финансовый 2 3 6 2 2" xfId="2041" xr:uid="{3E2EA4B5-0D24-48E1-9527-91DFF2D7ACF2}"/>
    <cellStyle name="Финансовый 2 3 6 2 2 2" xfId="5035" xr:uid="{3E2EA4B5-0D24-48E1-9527-91DFF2D7ACF2}"/>
    <cellStyle name="Финансовый 2 3 6 2 3" xfId="4155" xr:uid="{3E2EA4B5-0D24-48E1-9527-91DFF2D7ACF2}"/>
    <cellStyle name="Финансовый 2 3 6 3" xfId="1600" xr:uid="{3E2EA4B5-0D24-48E1-9527-91DFF2D7ACF2}"/>
    <cellStyle name="Финансовый 2 3 6 3 2" xfId="2301" xr:uid="{3E2EA4B5-0D24-48E1-9527-91DFF2D7ACF2}"/>
    <cellStyle name="Финансовый 2 3 6 3 2 2" xfId="5295" xr:uid="{3E2EA4B5-0D24-48E1-9527-91DFF2D7ACF2}"/>
    <cellStyle name="Финансовый 2 3 6 3 3" xfId="4595" xr:uid="{3E2EA4B5-0D24-48E1-9527-91DFF2D7ACF2}"/>
    <cellStyle name="Финансовый 2 3 6 4" xfId="1862" xr:uid="{3E2EA4B5-0D24-48E1-9527-91DFF2D7ACF2}"/>
    <cellStyle name="Финансовый 2 3 6 4 2" xfId="4857" xr:uid="{3E2EA4B5-0D24-48E1-9527-91DFF2D7ACF2}"/>
    <cellStyle name="Финансовый 2 3 6 5" xfId="2991" xr:uid="{3E2EA4B5-0D24-48E1-9527-91DFF2D7ACF2}"/>
    <cellStyle name="Финансовый 2 3 6 5 2" xfId="5985" xr:uid="{3E2EA4B5-0D24-48E1-9527-91DFF2D7ACF2}"/>
    <cellStyle name="Финансовый 2 3 6 6" xfId="3802" xr:uid="{3E2EA4B5-0D24-48E1-9527-91DFF2D7ACF2}"/>
    <cellStyle name="Финансовый 2 3 7" xfId="700" xr:uid="{3E2EA4B5-0D24-48E1-9527-91DFF2D7ACF2}"/>
    <cellStyle name="Финансовый 2 3 7 2" xfId="1495" xr:uid="{3E2EA4B5-0D24-48E1-9527-91DFF2D7ACF2}"/>
    <cellStyle name="Финансовый 2 3 7 2 2" xfId="2217" xr:uid="{3E2EA4B5-0D24-48E1-9527-91DFF2D7ACF2}"/>
    <cellStyle name="Финансовый 2 3 7 2 2 2" xfId="5211" xr:uid="{3E2EA4B5-0D24-48E1-9527-91DFF2D7ACF2}"/>
    <cellStyle name="Финансовый 2 3 7 2 3" xfId="4490" xr:uid="{3E2EA4B5-0D24-48E1-9527-91DFF2D7ACF2}"/>
    <cellStyle name="Финансовый 2 3 7 3" xfId="1778" xr:uid="{3E2EA4B5-0D24-48E1-9527-91DFF2D7ACF2}"/>
    <cellStyle name="Финансовый 2 3 7 3 2" xfId="4773" xr:uid="{3E2EA4B5-0D24-48E1-9527-91DFF2D7ACF2}"/>
    <cellStyle name="Финансовый 2 3 7 4" xfId="2886" xr:uid="{3E2EA4B5-0D24-48E1-9527-91DFF2D7ACF2}"/>
    <cellStyle name="Финансовый 2 3 7 4 2" xfId="5880" xr:uid="{3E2EA4B5-0D24-48E1-9527-91DFF2D7ACF2}"/>
    <cellStyle name="Финансовый 2 3 7 5" xfId="3697" xr:uid="{3E2EA4B5-0D24-48E1-9527-91DFF2D7ACF2}"/>
    <cellStyle name="Финансовый 2 3 8" xfId="899" xr:uid="{3E2EA4B5-0D24-48E1-9527-91DFF2D7ACF2}"/>
    <cellStyle name="Финансовый 2 3 8 2" xfId="1950" xr:uid="{3E2EA4B5-0D24-48E1-9527-91DFF2D7ACF2}"/>
    <cellStyle name="Финансовый 2 3 8 2 2" xfId="4945" xr:uid="{3E2EA4B5-0D24-48E1-9527-91DFF2D7ACF2}"/>
    <cellStyle name="Финансовый 2 3 8 3" xfId="2656" xr:uid="{3E2EA4B5-0D24-48E1-9527-91DFF2D7ACF2}"/>
    <cellStyle name="Финансовый 2 3 8 3 2" xfId="5650" xr:uid="{3E2EA4B5-0D24-48E1-9527-91DFF2D7ACF2}"/>
    <cellStyle name="Финансовый 2 3 8 4" xfId="3895" xr:uid="{3E2EA4B5-0D24-48E1-9527-91DFF2D7ACF2}"/>
    <cellStyle name="Финансовый 2 3 9" xfId="1265" xr:uid="{3E2EA4B5-0D24-48E1-9527-91DFF2D7ACF2}"/>
    <cellStyle name="Финансовый 2 3 9 2" xfId="2125" xr:uid="{3E2EA4B5-0D24-48E1-9527-91DFF2D7ACF2}"/>
    <cellStyle name="Финансовый 2 3 9 2 2" xfId="5119" xr:uid="{3E2EA4B5-0D24-48E1-9527-91DFF2D7ACF2}"/>
    <cellStyle name="Финансовый 2 3 9 3" xfId="4260" xr:uid="{3E2EA4B5-0D24-48E1-9527-91DFF2D7ACF2}"/>
    <cellStyle name="Финансовый 2 4" xfId="472" xr:uid="{3E2EA4B5-0D24-48E1-9527-91DFF2D7ACF2}"/>
    <cellStyle name="Финансовый 2 4 10" xfId="2557" xr:uid="{3E2EA4B5-0D24-48E1-9527-91DFF2D7ACF2}"/>
    <cellStyle name="Финансовый 2 4 10 2" xfId="5551" xr:uid="{3E2EA4B5-0D24-48E1-9527-91DFF2D7ACF2}"/>
    <cellStyle name="Финансовый 2 4 11" xfId="3473" xr:uid="{3E2EA4B5-0D24-48E1-9527-91DFF2D7ACF2}"/>
    <cellStyle name="Финансовый 2 4 2" xfId="486" xr:uid="{3E2EA4B5-0D24-48E1-9527-91DFF2D7ACF2}"/>
    <cellStyle name="Финансовый 2 4 2 10" xfId="3487" xr:uid="{3E2EA4B5-0D24-48E1-9527-91DFF2D7ACF2}"/>
    <cellStyle name="Финансовый 2 4 2 2" xfId="516" xr:uid="{3E2EA4B5-0D24-48E1-9527-91DFF2D7ACF2}"/>
    <cellStyle name="Финансовый 2 4 2 2 2" xfId="854" xr:uid="{3E2EA4B5-0D24-48E1-9527-91DFF2D7ACF2}"/>
    <cellStyle name="Финансовый 2 4 2 2 2 2" xfId="1208" xr:uid="{3E2EA4B5-0D24-48E1-9527-91DFF2D7ACF2}"/>
    <cellStyle name="Финансовый 2 4 2 2 2 2 2" xfId="2088" xr:uid="{3E2EA4B5-0D24-48E1-9527-91DFF2D7ACF2}"/>
    <cellStyle name="Финансовый 2 4 2 2 2 2 2 2" xfId="5082" xr:uid="{3E2EA4B5-0D24-48E1-9527-91DFF2D7ACF2}"/>
    <cellStyle name="Финансовый 2 4 2 2 2 2 3" xfId="4203" xr:uid="{3E2EA4B5-0D24-48E1-9527-91DFF2D7ACF2}"/>
    <cellStyle name="Финансовый 2 4 2 2 2 3" xfId="1648" xr:uid="{3E2EA4B5-0D24-48E1-9527-91DFF2D7ACF2}"/>
    <cellStyle name="Финансовый 2 4 2 2 2 3 2" xfId="2348" xr:uid="{3E2EA4B5-0D24-48E1-9527-91DFF2D7ACF2}"/>
    <cellStyle name="Финансовый 2 4 2 2 2 3 2 2" xfId="5342" xr:uid="{3E2EA4B5-0D24-48E1-9527-91DFF2D7ACF2}"/>
    <cellStyle name="Финансовый 2 4 2 2 2 3 3" xfId="4643" xr:uid="{3E2EA4B5-0D24-48E1-9527-91DFF2D7ACF2}"/>
    <cellStyle name="Финансовый 2 4 2 2 2 4" xfId="1909" xr:uid="{3E2EA4B5-0D24-48E1-9527-91DFF2D7ACF2}"/>
    <cellStyle name="Финансовый 2 4 2 2 2 4 2" xfId="4904" xr:uid="{3E2EA4B5-0D24-48E1-9527-91DFF2D7ACF2}"/>
    <cellStyle name="Финансовый 2 4 2 2 2 5" xfId="3039" xr:uid="{3E2EA4B5-0D24-48E1-9527-91DFF2D7ACF2}"/>
    <cellStyle name="Финансовый 2 4 2 2 2 5 2" xfId="6033" xr:uid="{3E2EA4B5-0D24-48E1-9527-91DFF2D7ACF2}"/>
    <cellStyle name="Финансовый 2 4 2 2 2 6" xfId="3850" xr:uid="{3E2EA4B5-0D24-48E1-9527-91DFF2D7ACF2}"/>
    <cellStyle name="Финансовый 2 4 2 2 3" xfId="749" xr:uid="{3E2EA4B5-0D24-48E1-9527-91DFF2D7ACF2}"/>
    <cellStyle name="Финансовый 2 4 2 2 3 2" xfId="1543" xr:uid="{3E2EA4B5-0D24-48E1-9527-91DFF2D7ACF2}"/>
    <cellStyle name="Финансовый 2 4 2 2 3 2 2" xfId="2264" xr:uid="{3E2EA4B5-0D24-48E1-9527-91DFF2D7ACF2}"/>
    <cellStyle name="Финансовый 2 4 2 2 3 2 2 2" xfId="5258" xr:uid="{3E2EA4B5-0D24-48E1-9527-91DFF2D7ACF2}"/>
    <cellStyle name="Финансовый 2 4 2 2 3 2 3" xfId="4538" xr:uid="{3E2EA4B5-0D24-48E1-9527-91DFF2D7ACF2}"/>
    <cellStyle name="Финансовый 2 4 2 2 3 3" xfId="1825" xr:uid="{3E2EA4B5-0D24-48E1-9527-91DFF2D7ACF2}"/>
    <cellStyle name="Финансовый 2 4 2 2 3 3 2" xfId="4820" xr:uid="{3E2EA4B5-0D24-48E1-9527-91DFF2D7ACF2}"/>
    <cellStyle name="Финансовый 2 4 2 2 3 4" xfId="2934" xr:uid="{3E2EA4B5-0D24-48E1-9527-91DFF2D7ACF2}"/>
    <cellStyle name="Финансовый 2 4 2 2 3 4 2" xfId="5928" xr:uid="{3E2EA4B5-0D24-48E1-9527-91DFF2D7ACF2}"/>
    <cellStyle name="Финансовый 2 4 2 2 3 5" xfId="3745" xr:uid="{3E2EA4B5-0D24-48E1-9527-91DFF2D7ACF2}"/>
    <cellStyle name="Финансовый 2 4 2 2 4" xfId="935" xr:uid="{3E2EA4B5-0D24-48E1-9527-91DFF2D7ACF2}"/>
    <cellStyle name="Финансовый 2 4 2 2 4 2" xfId="1980" xr:uid="{3E2EA4B5-0D24-48E1-9527-91DFF2D7ACF2}"/>
    <cellStyle name="Финансовый 2 4 2 2 4 2 2" xfId="4974" xr:uid="{3E2EA4B5-0D24-48E1-9527-91DFF2D7ACF2}"/>
    <cellStyle name="Финансовый 2 4 2 2 4 3" xfId="2704" xr:uid="{3E2EA4B5-0D24-48E1-9527-91DFF2D7ACF2}"/>
    <cellStyle name="Финансовый 2 4 2 2 4 3 2" xfId="5698" xr:uid="{3E2EA4B5-0D24-48E1-9527-91DFF2D7ACF2}"/>
    <cellStyle name="Финансовый 2 4 2 2 4 4" xfId="3930" xr:uid="{3E2EA4B5-0D24-48E1-9527-91DFF2D7ACF2}"/>
    <cellStyle name="Финансовый 2 4 2 2 5" xfId="1313" xr:uid="{3E2EA4B5-0D24-48E1-9527-91DFF2D7ACF2}"/>
    <cellStyle name="Финансовый 2 4 2 2 5 2" xfId="2172" xr:uid="{3E2EA4B5-0D24-48E1-9527-91DFF2D7ACF2}"/>
    <cellStyle name="Финансовый 2 4 2 2 5 2 2" xfId="5166" xr:uid="{3E2EA4B5-0D24-48E1-9527-91DFF2D7ACF2}"/>
    <cellStyle name="Финансовый 2 4 2 2 5 3" xfId="4308" xr:uid="{3E2EA4B5-0D24-48E1-9527-91DFF2D7ACF2}"/>
    <cellStyle name="Финансовый 2 4 2 2 6" xfId="1733" xr:uid="{3E2EA4B5-0D24-48E1-9527-91DFF2D7ACF2}"/>
    <cellStyle name="Финансовый 2 4 2 2 6 2" xfId="4728" xr:uid="{3E2EA4B5-0D24-48E1-9527-91DFF2D7ACF2}"/>
    <cellStyle name="Финансовый 2 4 2 2 7" xfId="2599" xr:uid="{3E2EA4B5-0D24-48E1-9527-91DFF2D7ACF2}"/>
    <cellStyle name="Финансовый 2 4 2 2 7 2" xfId="5593" xr:uid="{3E2EA4B5-0D24-48E1-9527-91DFF2D7ACF2}"/>
    <cellStyle name="Финансовый 2 4 2 2 8" xfId="3515" xr:uid="{3E2EA4B5-0D24-48E1-9527-91DFF2D7ACF2}"/>
    <cellStyle name="Финансовый 2 4 2 3" xfId="544" xr:uid="{3E2EA4B5-0D24-48E1-9527-91DFF2D7ACF2}"/>
    <cellStyle name="Финансовый 2 4 2 3 2" xfId="882" xr:uid="{3E2EA4B5-0D24-48E1-9527-91DFF2D7ACF2}"/>
    <cellStyle name="Финансовый 2 4 2 3 2 2" xfId="1236" xr:uid="{3E2EA4B5-0D24-48E1-9527-91DFF2D7ACF2}"/>
    <cellStyle name="Финансовый 2 4 2 3 2 2 2" xfId="2116" xr:uid="{3E2EA4B5-0D24-48E1-9527-91DFF2D7ACF2}"/>
    <cellStyle name="Финансовый 2 4 2 3 2 2 2 2" xfId="5110" xr:uid="{3E2EA4B5-0D24-48E1-9527-91DFF2D7ACF2}"/>
    <cellStyle name="Финансовый 2 4 2 3 2 2 3" xfId="4231" xr:uid="{3E2EA4B5-0D24-48E1-9527-91DFF2D7ACF2}"/>
    <cellStyle name="Финансовый 2 4 2 3 2 3" xfId="1676" xr:uid="{3E2EA4B5-0D24-48E1-9527-91DFF2D7ACF2}"/>
    <cellStyle name="Финансовый 2 4 2 3 2 3 2" xfId="2376" xr:uid="{3E2EA4B5-0D24-48E1-9527-91DFF2D7ACF2}"/>
    <cellStyle name="Финансовый 2 4 2 3 2 3 2 2" xfId="5370" xr:uid="{3E2EA4B5-0D24-48E1-9527-91DFF2D7ACF2}"/>
    <cellStyle name="Финансовый 2 4 2 3 2 3 3" xfId="4671" xr:uid="{3E2EA4B5-0D24-48E1-9527-91DFF2D7ACF2}"/>
    <cellStyle name="Финансовый 2 4 2 3 2 4" xfId="1937" xr:uid="{3E2EA4B5-0D24-48E1-9527-91DFF2D7ACF2}"/>
    <cellStyle name="Финансовый 2 4 2 3 2 4 2" xfId="4932" xr:uid="{3E2EA4B5-0D24-48E1-9527-91DFF2D7ACF2}"/>
    <cellStyle name="Финансовый 2 4 2 3 2 5" xfId="3067" xr:uid="{3E2EA4B5-0D24-48E1-9527-91DFF2D7ACF2}"/>
    <cellStyle name="Финансовый 2 4 2 3 2 5 2" xfId="6061" xr:uid="{3E2EA4B5-0D24-48E1-9527-91DFF2D7ACF2}"/>
    <cellStyle name="Финансовый 2 4 2 3 2 6" xfId="3878" xr:uid="{3E2EA4B5-0D24-48E1-9527-91DFF2D7ACF2}"/>
    <cellStyle name="Финансовый 2 4 2 3 3" xfId="777" xr:uid="{3E2EA4B5-0D24-48E1-9527-91DFF2D7ACF2}"/>
    <cellStyle name="Финансовый 2 4 2 3 3 2" xfId="1571" xr:uid="{3E2EA4B5-0D24-48E1-9527-91DFF2D7ACF2}"/>
    <cellStyle name="Финансовый 2 4 2 3 3 2 2" xfId="2292" xr:uid="{3E2EA4B5-0D24-48E1-9527-91DFF2D7ACF2}"/>
    <cellStyle name="Финансовый 2 4 2 3 3 2 2 2" xfId="5286" xr:uid="{3E2EA4B5-0D24-48E1-9527-91DFF2D7ACF2}"/>
    <cellStyle name="Финансовый 2 4 2 3 3 2 3" xfId="4566" xr:uid="{3E2EA4B5-0D24-48E1-9527-91DFF2D7ACF2}"/>
    <cellStyle name="Финансовый 2 4 2 3 3 3" xfId="1853" xr:uid="{3E2EA4B5-0D24-48E1-9527-91DFF2D7ACF2}"/>
    <cellStyle name="Финансовый 2 4 2 3 3 3 2" xfId="4848" xr:uid="{3E2EA4B5-0D24-48E1-9527-91DFF2D7ACF2}"/>
    <cellStyle name="Финансовый 2 4 2 3 3 4" xfId="2962" xr:uid="{3E2EA4B5-0D24-48E1-9527-91DFF2D7ACF2}"/>
    <cellStyle name="Финансовый 2 4 2 3 3 4 2" xfId="5956" xr:uid="{3E2EA4B5-0D24-48E1-9527-91DFF2D7ACF2}"/>
    <cellStyle name="Финансовый 2 4 2 3 3 5" xfId="3773" xr:uid="{3E2EA4B5-0D24-48E1-9527-91DFF2D7ACF2}"/>
    <cellStyle name="Финансовый 2 4 2 3 4" xfId="987" xr:uid="{3E2EA4B5-0D24-48E1-9527-91DFF2D7ACF2}"/>
    <cellStyle name="Финансовый 2 4 2 3 4 2" xfId="2022" xr:uid="{3E2EA4B5-0D24-48E1-9527-91DFF2D7ACF2}"/>
    <cellStyle name="Финансовый 2 4 2 3 4 2 2" xfId="5016" xr:uid="{3E2EA4B5-0D24-48E1-9527-91DFF2D7ACF2}"/>
    <cellStyle name="Финансовый 2 4 2 3 4 3" xfId="2732" xr:uid="{3E2EA4B5-0D24-48E1-9527-91DFF2D7ACF2}"/>
    <cellStyle name="Финансовый 2 4 2 3 4 3 2" xfId="5726" xr:uid="{3E2EA4B5-0D24-48E1-9527-91DFF2D7ACF2}"/>
    <cellStyle name="Финансовый 2 4 2 3 4 4" xfId="3982" xr:uid="{3E2EA4B5-0D24-48E1-9527-91DFF2D7ACF2}"/>
    <cellStyle name="Финансовый 2 4 2 3 5" xfId="1341" xr:uid="{3E2EA4B5-0D24-48E1-9527-91DFF2D7ACF2}"/>
    <cellStyle name="Финансовый 2 4 2 3 5 2" xfId="2200" xr:uid="{3E2EA4B5-0D24-48E1-9527-91DFF2D7ACF2}"/>
    <cellStyle name="Финансовый 2 4 2 3 5 2 2" xfId="5194" xr:uid="{3E2EA4B5-0D24-48E1-9527-91DFF2D7ACF2}"/>
    <cellStyle name="Финансовый 2 4 2 3 5 3" xfId="4336" xr:uid="{3E2EA4B5-0D24-48E1-9527-91DFF2D7ACF2}"/>
    <cellStyle name="Финансовый 2 4 2 3 6" xfId="1761" xr:uid="{3E2EA4B5-0D24-48E1-9527-91DFF2D7ACF2}"/>
    <cellStyle name="Финансовый 2 4 2 3 6 2" xfId="4756" xr:uid="{3E2EA4B5-0D24-48E1-9527-91DFF2D7ACF2}"/>
    <cellStyle name="Финансовый 2 4 2 3 7" xfId="2627" xr:uid="{3E2EA4B5-0D24-48E1-9527-91DFF2D7ACF2}"/>
    <cellStyle name="Финансовый 2 4 2 3 7 2" xfId="5621" xr:uid="{3E2EA4B5-0D24-48E1-9527-91DFF2D7ACF2}"/>
    <cellStyle name="Финансовый 2 4 2 3 8" xfId="3543" xr:uid="{3E2EA4B5-0D24-48E1-9527-91DFF2D7ACF2}"/>
    <cellStyle name="Финансовый 2 4 2 4" xfId="826" xr:uid="{3E2EA4B5-0D24-48E1-9527-91DFF2D7ACF2}"/>
    <cellStyle name="Финансовый 2 4 2 4 2" xfId="1180" xr:uid="{3E2EA4B5-0D24-48E1-9527-91DFF2D7ACF2}"/>
    <cellStyle name="Финансовый 2 4 2 4 2 2" xfId="2060" xr:uid="{3E2EA4B5-0D24-48E1-9527-91DFF2D7ACF2}"/>
    <cellStyle name="Финансовый 2 4 2 4 2 2 2" xfId="5054" xr:uid="{3E2EA4B5-0D24-48E1-9527-91DFF2D7ACF2}"/>
    <cellStyle name="Финансовый 2 4 2 4 2 3" xfId="4175" xr:uid="{3E2EA4B5-0D24-48E1-9527-91DFF2D7ACF2}"/>
    <cellStyle name="Финансовый 2 4 2 4 3" xfId="1620" xr:uid="{3E2EA4B5-0D24-48E1-9527-91DFF2D7ACF2}"/>
    <cellStyle name="Финансовый 2 4 2 4 3 2" xfId="2320" xr:uid="{3E2EA4B5-0D24-48E1-9527-91DFF2D7ACF2}"/>
    <cellStyle name="Финансовый 2 4 2 4 3 2 2" xfId="5314" xr:uid="{3E2EA4B5-0D24-48E1-9527-91DFF2D7ACF2}"/>
    <cellStyle name="Финансовый 2 4 2 4 3 3" xfId="4615" xr:uid="{3E2EA4B5-0D24-48E1-9527-91DFF2D7ACF2}"/>
    <cellStyle name="Финансовый 2 4 2 4 4" xfId="1881" xr:uid="{3E2EA4B5-0D24-48E1-9527-91DFF2D7ACF2}"/>
    <cellStyle name="Финансовый 2 4 2 4 4 2" xfId="4876" xr:uid="{3E2EA4B5-0D24-48E1-9527-91DFF2D7ACF2}"/>
    <cellStyle name="Финансовый 2 4 2 4 5" xfId="3011" xr:uid="{3E2EA4B5-0D24-48E1-9527-91DFF2D7ACF2}"/>
    <cellStyle name="Финансовый 2 4 2 4 5 2" xfId="6005" xr:uid="{3E2EA4B5-0D24-48E1-9527-91DFF2D7ACF2}"/>
    <cellStyle name="Финансовый 2 4 2 4 6" xfId="3822" xr:uid="{3E2EA4B5-0D24-48E1-9527-91DFF2D7ACF2}"/>
    <cellStyle name="Финансовый 2 4 2 5" xfId="720" xr:uid="{3E2EA4B5-0D24-48E1-9527-91DFF2D7ACF2}"/>
    <cellStyle name="Финансовый 2 4 2 5 2" xfId="1515" xr:uid="{3E2EA4B5-0D24-48E1-9527-91DFF2D7ACF2}"/>
    <cellStyle name="Финансовый 2 4 2 5 2 2" xfId="2236" xr:uid="{3E2EA4B5-0D24-48E1-9527-91DFF2D7ACF2}"/>
    <cellStyle name="Финансовый 2 4 2 5 2 2 2" xfId="5230" xr:uid="{3E2EA4B5-0D24-48E1-9527-91DFF2D7ACF2}"/>
    <cellStyle name="Финансовый 2 4 2 5 2 3" xfId="4510" xr:uid="{3E2EA4B5-0D24-48E1-9527-91DFF2D7ACF2}"/>
    <cellStyle name="Финансовый 2 4 2 5 3" xfId="1797" xr:uid="{3E2EA4B5-0D24-48E1-9527-91DFF2D7ACF2}"/>
    <cellStyle name="Финансовый 2 4 2 5 3 2" xfId="4792" xr:uid="{3E2EA4B5-0D24-48E1-9527-91DFF2D7ACF2}"/>
    <cellStyle name="Финансовый 2 4 2 5 4" xfId="2906" xr:uid="{3E2EA4B5-0D24-48E1-9527-91DFF2D7ACF2}"/>
    <cellStyle name="Финансовый 2 4 2 5 4 2" xfId="5900" xr:uid="{3E2EA4B5-0D24-48E1-9527-91DFF2D7ACF2}"/>
    <cellStyle name="Финансовый 2 4 2 5 5" xfId="3717" xr:uid="{3E2EA4B5-0D24-48E1-9527-91DFF2D7ACF2}"/>
    <cellStyle name="Финансовый 2 4 2 6" xfId="916" xr:uid="{3E2EA4B5-0D24-48E1-9527-91DFF2D7ACF2}"/>
    <cellStyle name="Финансовый 2 4 2 6 2" xfId="1963" xr:uid="{3E2EA4B5-0D24-48E1-9527-91DFF2D7ACF2}"/>
    <cellStyle name="Финансовый 2 4 2 6 2 2" xfId="4957" xr:uid="{3E2EA4B5-0D24-48E1-9527-91DFF2D7ACF2}"/>
    <cellStyle name="Финансовый 2 4 2 6 3" xfId="2676" xr:uid="{3E2EA4B5-0D24-48E1-9527-91DFF2D7ACF2}"/>
    <cellStyle name="Финансовый 2 4 2 6 3 2" xfId="5670" xr:uid="{3E2EA4B5-0D24-48E1-9527-91DFF2D7ACF2}"/>
    <cellStyle name="Финансовый 2 4 2 6 4" xfId="3911" xr:uid="{3E2EA4B5-0D24-48E1-9527-91DFF2D7ACF2}"/>
    <cellStyle name="Финансовый 2 4 2 7" xfId="1285" xr:uid="{3E2EA4B5-0D24-48E1-9527-91DFF2D7ACF2}"/>
    <cellStyle name="Финансовый 2 4 2 7 2" xfId="2144" xr:uid="{3E2EA4B5-0D24-48E1-9527-91DFF2D7ACF2}"/>
    <cellStyle name="Финансовый 2 4 2 7 2 2" xfId="5138" xr:uid="{3E2EA4B5-0D24-48E1-9527-91DFF2D7ACF2}"/>
    <cellStyle name="Финансовый 2 4 2 7 3" xfId="4280" xr:uid="{3E2EA4B5-0D24-48E1-9527-91DFF2D7ACF2}"/>
    <cellStyle name="Финансовый 2 4 2 8" xfId="1705" xr:uid="{3E2EA4B5-0D24-48E1-9527-91DFF2D7ACF2}"/>
    <cellStyle name="Финансовый 2 4 2 8 2" xfId="4700" xr:uid="{3E2EA4B5-0D24-48E1-9527-91DFF2D7ACF2}"/>
    <cellStyle name="Финансовый 2 4 2 9" xfId="2571" xr:uid="{3E2EA4B5-0D24-48E1-9527-91DFF2D7ACF2}"/>
    <cellStyle name="Финансовый 2 4 2 9 2" xfId="5565" xr:uid="{3E2EA4B5-0D24-48E1-9527-91DFF2D7ACF2}"/>
    <cellStyle name="Финансовый 2 4 3" xfId="500" xr:uid="{3E2EA4B5-0D24-48E1-9527-91DFF2D7ACF2}"/>
    <cellStyle name="Финансовый 2 4 3 2" xfId="840" xr:uid="{3E2EA4B5-0D24-48E1-9527-91DFF2D7ACF2}"/>
    <cellStyle name="Финансовый 2 4 3 2 2" xfId="1194" xr:uid="{3E2EA4B5-0D24-48E1-9527-91DFF2D7ACF2}"/>
    <cellStyle name="Финансовый 2 4 3 2 2 2" xfId="2074" xr:uid="{3E2EA4B5-0D24-48E1-9527-91DFF2D7ACF2}"/>
    <cellStyle name="Финансовый 2 4 3 2 2 2 2" xfId="5068" xr:uid="{3E2EA4B5-0D24-48E1-9527-91DFF2D7ACF2}"/>
    <cellStyle name="Финансовый 2 4 3 2 2 3" xfId="4189" xr:uid="{3E2EA4B5-0D24-48E1-9527-91DFF2D7ACF2}"/>
    <cellStyle name="Финансовый 2 4 3 2 3" xfId="1634" xr:uid="{3E2EA4B5-0D24-48E1-9527-91DFF2D7ACF2}"/>
    <cellStyle name="Финансовый 2 4 3 2 3 2" xfId="2334" xr:uid="{3E2EA4B5-0D24-48E1-9527-91DFF2D7ACF2}"/>
    <cellStyle name="Финансовый 2 4 3 2 3 2 2" xfId="5328" xr:uid="{3E2EA4B5-0D24-48E1-9527-91DFF2D7ACF2}"/>
    <cellStyle name="Финансовый 2 4 3 2 3 3" xfId="4629" xr:uid="{3E2EA4B5-0D24-48E1-9527-91DFF2D7ACF2}"/>
    <cellStyle name="Финансовый 2 4 3 2 4" xfId="1895" xr:uid="{3E2EA4B5-0D24-48E1-9527-91DFF2D7ACF2}"/>
    <cellStyle name="Финансовый 2 4 3 2 4 2" xfId="4890" xr:uid="{3E2EA4B5-0D24-48E1-9527-91DFF2D7ACF2}"/>
    <cellStyle name="Финансовый 2 4 3 2 5" xfId="3025" xr:uid="{3E2EA4B5-0D24-48E1-9527-91DFF2D7ACF2}"/>
    <cellStyle name="Финансовый 2 4 3 2 5 2" xfId="6019" xr:uid="{3E2EA4B5-0D24-48E1-9527-91DFF2D7ACF2}"/>
    <cellStyle name="Финансовый 2 4 3 2 6" xfId="3836" xr:uid="{3E2EA4B5-0D24-48E1-9527-91DFF2D7ACF2}"/>
    <cellStyle name="Финансовый 2 4 3 3" xfId="734" xr:uid="{3E2EA4B5-0D24-48E1-9527-91DFF2D7ACF2}"/>
    <cellStyle name="Финансовый 2 4 3 3 2" xfId="1529" xr:uid="{3E2EA4B5-0D24-48E1-9527-91DFF2D7ACF2}"/>
    <cellStyle name="Финансовый 2 4 3 3 2 2" xfId="2250" xr:uid="{3E2EA4B5-0D24-48E1-9527-91DFF2D7ACF2}"/>
    <cellStyle name="Финансовый 2 4 3 3 2 2 2" xfId="5244" xr:uid="{3E2EA4B5-0D24-48E1-9527-91DFF2D7ACF2}"/>
    <cellStyle name="Финансовый 2 4 3 3 2 3" xfId="4524" xr:uid="{3E2EA4B5-0D24-48E1-9527-91DFF2D7ACF2}"/>
    <cellStyle name="Финансовый 2 4 3 3 3" xfId="1811" xr:uid="{3E2EA4B5-0D24-48E1-9527-91DFF2D7ACF2}"/>
    <cellStyle name="Финансовый 2 4 3 3 3 2" xfId="4806" xr:uid="{3E2EA4B5-0D24-48E1-9527-91DFF2D7ACF2}"/>
    <cellStyle name="Финансовый 2 4 3 3 4" xfId="2920" xr:uid="{3E2EA4B5-0D24-48E1-9527-91DFF2D7ACF2}"/>
    <cellStyle name="Финансовый 2 4 3 3 4 2" xfId="5914" xr:uid="{3E2EA4B5-0D24-48E1-9527-91DFF2D7ACF2}"/>
    <cellStyle name="Финансовый 2 4 3 3 5" xfId="3731" xr:uid="{3E2EA4B5-0D24-48E1-9527-91DFF2D7ACF2}"/>
    <cellStyle name="Финансовый 2 4 3 4" xfId="934" xr:uid="{3E2EA4B5-0D24-48E1-9527-91DFF2D7ACF2}"/>
    <cellStyle name="Финансовый 2 4 3 4 2" xfId="1979" xr:uid="{3E2EA4B5-0D24-48E1-9527-91DFF2D7ACF2}"/>
    <cellStyle name="Финансовый 2 4 3 4 2 2" xfId="4973" xr:uid="{3E2EA4B5-0D24-48E1-9527-91DFF2D7ACF2}"/>
    <cellStyle name="Финансовый 2 4 3 4 3" xfId="2690" xr:uid="{3E2EA4B5-0D24-48E1-9527-91DFF2D7ACF2}"/>
    <cellStyle name="Финансовый 2 4 3 4 3 2" xfId="5684" xr:uid="{3E2EA4B5-0D24-48E1-9527-91DFF2D7ACF2}"/>
    <cellStyle name="Финансовый 2 4 3 4 4" xfId="3929" xr:uid="{3E2EA4B5-0D24-48E1-9527-91DFF2D7ACF2}"/>
    <cellStyle name="Финансовый 2 4 3 5" xfId="1299" xr:uid="{3E2EA4B5-0D24-48E1-9527-91DFF2D7ACF2}"/>
    <cellStyle name="Финансовый 2 4 3 5 2" xfId="2158" xr:uid="{3E2EA4B5-0D24-48E1-9527-91DFF2D7ACF2}"/>
    <cellStyle name="Финансовый 2 4 3 5 2 2" xfId="5152" xr:uid="{3E2EA4B5-0D24-48E1-9527-91DFF2D7ACF2}"/>
    <cellStyle name="Финансовый 2 4 3 5 3" xfId="4294" xr:uid="{3E2EA4B5-0D24-48E1-9527-91DFF2D7ACF2}"/>
    <cellStyle name="Финансовый 2 4 3 6" xfId="1719" xr:uid="{3E2EA4B5-0D24-48E1-9527-91DFF2D7ACF2}"/>
    <cellStyle name="Финансовый 2 4 3 6 2" xfId="4714" xr:uid="{3E2EA4B5-0D24-48E1-9527-91DFF2D7ACF2}"/>
    <cellStyle name="Финансовый 2 4 3 7" xfId="2585" xr:uid="{3E2EA4B5-0D24-48E1-9527-91DFF2D7ACF2}"/>
    <cellStyle name="Финансовый 2 4 3 7 2" xfId="5579" xr:uid="{3E2EA4B5-0D24-48E1-9527-91DFF2D7ACF2}"/>
    <cellStyle name="Финансовый 2 4 3 8" xfId="3501" xr:uid="{3E2EA4B5-0D24-48E1-9527-91DFF2D7ACF2}"/>
    <cellStyle name="Финансовый 2 4 4" xfId="530" xr:uid="{3E2EA4B5-0D24-48E1-9527-91DFF2D7ACF2}"/>
    <cellStyle name="Финансовый 2 4 4 2" xfId="868" xr:uid="{3E2EA4B5-0D24-48E1-9527-91DFF2D7ACF2}"/>
    <cellStyle name="Финансовый 2 4 4 2 2" xfId="1222" xr:uid="{3E2EA4B5-0D24-48E1-9527-91DFF2D7ACF2}"/>
    <cellStyle name="Финансовый 2 4 4 2 2 2" xfId="2102" xr:uid="{3E2EA4B5-0D24-48E1-9527-91DFF2D7ACF2}"/>
    <cellStyle name="Финансовый 2 4 4 2 2 2 2" xfId="5096" xr:uid="{3E2EA4B5-0D24-48E1-9527-91DFF2D7ACF2}"/>
    <cellStyle name="Финансовый 2 4 4 2 2 3" xfId="4217" xr:uid="{3E2EA4B5-0D24-48E1-9527-91DFF2D7ACF2}"/>
    <cellStyle name="Финансовый 2 4 4 2 3" xfId="1662" xr:uid="{3E2EA4B5-0D24-48E1-9527-91DFF2D7ACF2}"/>
    <cellStyle name="Финансовый 2 4 4 2 3 2" xfId="2362" xr:uid="{3E2EA4B5-0D24-48E1-9527-91DFF2D7ACF2}"/>
    <cellStyle name="Финансовый 2 4 4 2 3 2 2" xfId="5356" xr:uid="{3E2EA4B5-0D24-48E1-9527-91DFF2D7ACF2}"/>
    <cellStyle name="Финансовый 2 4 4 2 3 3" xfId="4657" xr:uid="{3E2EA4B5-0D24-48E1-9527-91DFF2D7ACF2}"/>
    <cellStyle name="Финансовый 2 4 4 2 4" xfId="1923" xr:uid="{3E2EA4B5-0D24-48E1-9527-91DFF2D7ACF2}"/>
    <cellStyle name="Финансовый 2 4 4 2 4 2" xfId="4918" xr:uid="{3E2EA4B5-0D24-48E1-9527-91DFF2D7ACF2}"/>
    <cellStyle name="Финансовый 2 4 4 2 5" xfId="3053" xr:uid="{3E2EA4B5-0D24-48E1-9527-91DFF2D7ACF2}"/>
    <cellStyle name="Финансовый 2 4 4 2 5 2" xfId="6047" xr:uid="{3E2EA4B5-0D24-48E1-9527-91DFF2D7ACF2}"/>
    <cellStyle name="Финансовый 2 4 4 2 6" xfId="3864" xr:uid="{3E2EA4B5-0D24-48E1-9527-91DFF2D7ACF2}"/>
    <cellStyle name="Финансовый 2 4 4 3" xfId="763" xr:uid="{3E2EA4B5-0D24-48E1-9527-91DFF2D7ACF2}"/>
    <cellStyle name="Финансовый 2 4 4 3 2" xfId="1557" xr:uid="{3E2EA4B5-0D24-48E1-9527-91DFF2D7ACF2}"/>
    <cellStyle name="Финансовый 2 4 4 3 2 2" xfId="2278" xr:uid="{3E2EA4B5-0D24-48E1-9527-91DFF2D7ACF2}"/>
    <cellStyle name="Финансовый 2 4 4 3 2 2 2" xfId="5272" xr:uid="{3E2EA4B5-0D24-48E1-9527-91DFF2D7ACF2}"/>
    <cellStyle name="Финансовый 2 4 4 3 2 3" xfId="4552" xr:uid="{3E2EA4B5-0D24-48E1-9527-91DFF2D7ACF2}"/>
    <cellStyle name="Финансовый 2 4 4 3 3" xfId="1839" xr:uid="{3E2EA4B5-0D24-48E1-9527-91DFF2D7ACF2}"/>
    <cellStyle name="Финансовый 2 4 4 3 3 2" xfId="4834" xr:uid="{3E2EA4B5-0D24-48E1-9527-91DFF2D7ACF2}"/>
    <cellStyle name="Финансовый 2 4 4 3 4" xfId="2948" xr:uid="{3E2EA4B5-0D24-48E1-9527-91DFF2D7ACF2}"/>
    <cellStyle name="Финансовый 2 4 4 3 4 2" xfId="5942" xr:uid="{3E2EA4B5-0D24-48E1-9527-91DFF2D7ACF2}"/>
    <cellStyle name="Финансовый 2 4 4 3 5" xfId="3759" xr:uid="{3E2EA4B5-0D24-48E1-9527-91DFF2D7ACF2}"/>
    <cellStyle name="Финансовый 2 4 4 4" xfId="973" xr:uid="{3E2EA4B5-0D24-48E1-9527-91DFF2D7ACF2}"/>
    <cellStyle name="Финансовый 2 4 4 4 2" xfId="2008" xr:uid="{3E2EA4B5-0D24-48E1-9527-91DFF2D7ACF2}"/>
    <cellStyle name="Финансовый 2 4 4 4 2 2" xfId="5002" xr:uid="{3E2EA4B5-0D24-48E1-9527-91DFF2D7ACF2}"/>
    <cellStyle name="Финансовый 2 4 4 4 3" xfId="2718" xr:uid="{3E2EA4B5-0D24-48E1-9527-91DFF2D7ACF2}"/>
    <cellStyle name="Финансовый 2 4 4 4 3 2" xfId="5712" xr:uid="{3E2EA4B5-0D24-48E1-9527-91DFF2D7ACF2}"/>
    <cellStyle name="Финансовый 2 4 4 4 4" xfId="3968" xr:uid="{3E2EA4B5-0D24-48E1-9527-91DFF2D7ACF2}"/>
    <cellStyle name="Финансовый 2 4 4 5" xfId="1327" xr:uid="{3E2EA4B5-0D24-48E1-9527-91DFF2D7ACF2}"/>
    <cellStyle name="Финансовый 2 4 4 5 2" xfId="2186" xr:uid="{3E2EA4B5-0D24-48E1-9527-91DFF2D7ACF2}"/>
    <cellStyle name="Финансовый 2 4 4 5 2 2" xfId="5180" xr:uid="{3E2EA4B5-0D24-48E1-9527-91DFF2D7ACF2}"/>
    <cellStyle name="Финансовый 2 4 4 5 3" xfId="4322" xr:uid="{3E2EA4B5-0D24-48E1-9527-91DFF2D7ACF2}"/>
    <cellStyle name="Финансовый 2 4 4 6" xfId="1747" xr:uid="{3E2EA4B5-0D24-48E1-9527-91DFF2D7ACF2}"/>
    <cellStyle name="Финансовый 2 4 4 6 2" xfId="4742" xr:uid="{3E2EA4B5-0D24-48E1-9527-91DFF2D7ACF2}"/>
    <cellStyle name="Финансовый 2 4 4 7" xfId="2613" xr:uid="{3E2EA4B5-0D24-48E1-9527-91DFF2D7ACF2}"/>
    <cellStyle name="Финансовый 2 4 4 7 2" xfId="5607" xr:uid="{3E2EA4B5-0D24-48E1-9527-91DFF2D7ACF2}"/>
    <cellStyle name="Финансовый 2 4 4 8" xfId="3529" xr:uid="{3E2EA4B5-0D24-48E1-9527-91DFF2D7ACF2}"/>
    <cellStyle name="Финансовый 2 4 5" xfId="812" xr:uid="{3E2EA4B5-0D24-48E1-9527-91DFF2D7ACF2}"/>
    <cellStyle name="Финансовый 2 4 5 2" xfId="1166" xr:uid="{3E2EA4B5-0D24-48E1-9527-91DFF2D7ACF2}"/>
    <cellStyle name="Финансовый 2 4 5 2 2" xfId="2046" xr:uid="{3E2EA4B5-0D24-48E1-9527-91DFF2D7ACF2}"/>
    <cellStyle name="Финансовый 2 4 5 2 2 2" xfId="5040" xr:uid="{3E2EA4B5-0D24-48E1-9527-91DFF2D7ACF2}"/>
    <cellStyle name="Финансовый 2 4 5 2 3" xfId="4161" xr:uid="{3E2EA4B5-0D24-48E1-9527-91DFF2D7ACF2}"/>
    <cellStyle name="Финансовый 2 4 5 3" xfId="1606" xr:uid="{3E2EA4B5-0D24-48E1-9527-91DFF2D7ACF2}"/>
    <cellStyle name="Финансовый 2 4 5 3 2" xfId="2306" xr:uid="{3E2EA4B5-0D24-48E1-9527-91DFF2D7ACF2}"/>
    <cellStyle name="Финансовый 2 4 5 3 2 2" xfId="5300" xr:uid="{3E2EA4B5-0D24-48E1-9527-91DFF2D7ACF2}"/>
    <cellStyle name="Финансовый 2 4 5 3 3" xfId="4601" xr:uid="{3E2EA4B5-0D24-48E1-9527-91DFF2D7ACF2}"/>
    <cellStyle name="Финансовый 2 4 5 4" xfId="1867" xr:uid="{3E2EA4B5-0D24-48E1-9527-91DFF2D7ACF2}"/>
    <cellStyle name="Финансовый 2 4 5 4 2" xfId="4862" xr:uid="{3E2EA4B5-0D24-48E1-9527-91DFF2D7ACF2}"/>
    <cellStyle name="Финансовый 2 4 5 5" xfId="2997" xr:uid="{3E2EA4B5-0D24-48E1-9527-91DFF2D7ACF2}"/>
    <cellStyle name="Финансовый 2 4 5 5 2" xfId="5991" xr:uid="{3E2EA4B5-0D24-48E1-9527-91DFF2D7ACF2}"/>
    <cellStyle name="Финансовый 2 4 5 6" xfId="3808" xr:uid="{3E2EA4B5-0D24-48E1-9527-91DFF2D7ACF2}"/>
    <cellStyle name="Финансовый 2 4 6" xfId="706" xr:uid="{3E2EA4B5-0D24-48E1-9527-91DFF2D7ACF2}"/>
    <cellStyle name="Финансовый 2 4 6 2" xfId="1501" xr:uid="{3E2EA4B5-0D24-48E1-9527-91DFF2D7ACF2}"/>
    <cellStyle name="Финансовый 2 4 6 2 2" xfId="2222" xr:uid="{3E2EA4B5-0D24-48E1-9527-91DFF2D7ACF2}"/>
    <cellStyle name="Финансовый 2 4 6 2 2 2" xfId="5216" xr:uid="{3E2EA4B5-0D24-48E1-9527-91DFF2D7ACF2}"/>
    <cellStyle name="Финансовый 2 4 6 2 3" xfId="4496" xr:uid="{3E2EA4B5-0D24-48E1-9527-91DFF2D7ACF2}"/>
    <cellStyle name="Финансовый 2 4 6 3" xfId="1783" xr:uid="{3E2EA4B5-0D24-48E1-9527-91DFF2D7ACF2}"/>
    <cellStyle name="Финансовый 2 4 6 3 2" xfId="4778" xr:uid="{3E2EA4B5-0D24-48E1-9527-91DFF2D7ACF2}"/>
    <cellStyle name="Финансовый 2 4 6 4" xfId="2892" xr:uid="{3E2EA4B5-0D24-48E1-9527-91DFF2D7ACF2}"/>
    <cellStyle name="Финансовый 2 4 6 4 2" xfId="5886" xr:uid="{3E2EA4B5-0D24-48E1-9527-91DFF2D7ACF2}"/>
    <cellStyle name="Финансовый 2 4 6 5" xfId="3703" xr:uid="{3E2EA4B5-0D24-48E1-9527-91DFF2D7ACF2}"/>
    <cellStyle name="Финансовый 2 4 7" xfId="953" xr:uid="{3E2EA4B5-0D24-48E1-9527-91DFF2D7ACF2}"/>
    <cellStyle name="Финансовый 2 4 7 2" xfId="1992" xr:uid="{3E2EA4B5-0D24-48E1-9527-91DFF2D7ACF2}"/>
    <cellStyle name="Финансовый 2 4 7 2 2" xfId="4986" xr:uid="{3E2EA4B5-0D24-48E1-9527-91DFF2D7ACF2}"/>
    <cellStyle name="Финансовый 2 4 7 3" xfId="2662" xr:uid="{3E2EA4B5-0D24-48E1-9527-91DFF2D7ACF2}"/>
    <cellStyle name="Финансовый 2 4 7 3 2" xfId="5656" xr:uid="{3E2EA4B5-0D24-48E1-9527-91DFF2D7ACF2}"/>
    <cellStyle name="Финансовый 2 4 7 4" xfId="3948" xr:uid="{3E2EA4B5-0D24-48E1-9527-91DFF2D7ACF2}"/>
    <cellStyle name="Финансовый 2 4 8" xfId="1271" xr:uid="{3E2EA4B5-0D24-48E1-9527-91DFF2D7ACF2}"/>
    <cellStyle name="Финансовый 2 4 8 2" xfId="2130" xr:uid="{3E2EA4B5-0D24-48E1-9527-91DFF2D7ACF2}"/>
    <cellStyle name="Финансовый 2 4 8 2 2" xfId="5124" xr:uid="{3E2EA4B5-0D24-48E1-9527-91DFF2D7ACF2}"/>
    <cellStyle name="Финансовый 2 4 8 3" xfId="4266" xr:uid="{3E2EA4B5-0D24-48E1-9527-91DFF2D7ACF2}"/>
    <cellStyle name="Финансовый 2 4 9" xfId="1691" xr:uid="{3E2EA4B5-0D24-48E1-9527-91DFF2D7ACF2}"/>
    <cellStyle name="Финансовый 2 4 9 2" xfId="4686" xr:uid="{3E2EA4B5-0D24-48E1-9527-91DFF2D7ACF2}"/>
    <cellStyle name="Финансовый 2 5" xfId="479" xr:uid="{3E2EA4B5-0D24-48E1-9527-91DFF2D7ACF2}"/>
    <cellStyle name="Финансовый 2 5 10" xfId="3480" xr:uid="{3E2EA4B5-0D24-48E1-9527-91DFF2D7ACF2}"/>
    <cellStyle name="Финансовый 2 5 2" xfId="509" xr:uid="{3E2EA4B5-0D24-48E1-9527-91DFF2D7ACF2}"/>
    <cellStyle name="Финансовый 2 5 2 2" xfId="847" xr:uid="{3E2EA4B5-0D24-48E1-9527-91DFF2D7ACF2}"/>
    <cellStyle name="Финансовый 2 5 2 2 2" xfId="1201" xr:uid="{3E2EA4B5-0D24-48E1-9527-91DFF2D7ACF2}"/>
    <cellStyle name="Финансовый 2 5 2 2 2 2" xfId="2081" xr:uid="{3E2EA4B5-0D24-48E1-9527-91DFF2D7ACF2}"/>
    <cellStyle name="Финансовый 2 5 2 2 2 2 2" xfId="5075" xr:uid="{3E2EA4B5-0D24-48E1-9527-91DFF2D7ACF2}"/>
    <cellStyle name="Финансовый 2 5 2 2 2 3" xfId="4196" xr:uid="{3E2EA4B5-0D24-48E1-9527-91DFF2D7ACF2}"/>
    <cellStyle name="Финансовый 2 5 2 2 3" xfId="1641" xr:uid="{3E2EA4B5-0D24-48E1-9527-91DFF2D7ACF2}"/>
    <cellStyle name="Финансовый 2 5 2 2 3 2" xfId="2341" xr:uid="{3E2EA4B5-0D24-48E1-9527-91DFF2D7ACF2}"/>
    <cellStyle name="Финансовый 2 5 2 2 3 2 2" xfId="5335" xr:uid="{3E2EA4B5-0D24-48E1-9527-91DFF2D7ACF2}"/>
    <cellStyle name="Финансовый 2 5 2 2 3 3" xfId="4636" xr:uid="{3E2EA4B5-0D24-48E1-9527-91DFF2D7ACF2}"/>
    <cellStyle name="Финансовый 2 5 2 2 4" xfId="1902" xr:uid="{3E2EA4B5-0D24-48E1-9527-91DFF2D7ACF2}"/>
    <cellStyle name="Финансовый 2 5 2 2 4 2" xfId="4897" xr:uid="{3E2EA4B5-0D24-48E1-9527-91DFF2D7ACF2}"/>
    <cellStyle name="Финансовый 2 5 2 2 5" xfId="3032" xr:uid="{3E2EA4B5-0D24-48E1-9527-91DFF2D7ACF2}"/>
    <cellStyle name="Финансовый 2 5 2 2 5 2" xfId="6026" xr:uid="{3E2EA4B5-0D24-48E1-9527-91DFF2D7ACF2}"/>
    <cellStyle name="Финансовый 2 5 2 2 6" xfId="3843" xr:uid="{3E2EA4B5-0D24-48E1-9527-91DFF2D7ACF2}"/>
    <cellStyle name="Финансовый 2 5 2 3" xfId="742" xr:uid="{3E2EA4B5-0D24-48E1-9527-91DFF2D7ACF2}"/>
    <cellStyle name="Финансовый 2 5 2 3 2" xfId="1536" xr:uid="{3E2EA4B5-0D24-48E1-9527-91DFF2D7ACF2}"/>
    <cellStyle name="Финансовый 2 5 2 3 2 2" xfId="2257" xr:uid="{3E2EA4B5-0D24-48E1-9527-91DFF2D7ACF2}"/>
    <cellStyle name="Финансовый 2 5 2 3 2 2 2" xfId="5251" xr:uid="{3E2EA4B5-0D24-48E1-9527-91DFF2D7ACF2}"/>
    <cellStyle name="Финансовый 2 5 2 3 2 3" xfId="4531" xr:uid="{3E2EA4B5-0D24-48E1-9527-91DFF2D7ACF2}"/>
    <cellStyle name="Финансовый 2 5 2 3 3" xfId="1818" xr:uid="{3E2EA4B5-0D24-48E1-9527-91DFF2D7ACF2}"/>
    <cellStyle name="Финансовый 2 5 2 3 3 2" xfId="4813" xr:uid="{3E2EA4B5-0D24-48E1-9527-91DFF2D7ACF2}"/>
    <cellStyle name="Финансовый 2 5 2 3 4" xfId="2927" xr:uid="{3E2EA4B5-0D24-48E1-9527-91DFF2D7ACF2}"/>
    <cellStyle name="Финансовый 2 5 2 3 4 2" xfId="5921" xr:uid="{3E2EA4B5-0D24-48E1-9527-91DFF2D7ACF2}"/>
    <cellStyle name="Финансовый 2 5 2 3 5" xfId="3738" xr:uid="{3E2EA4B5-0D24-48E1-9527-91DFF2D7ACF2}"/>
    <cellStyle name="Финансовый 2 5 2 4" xfId="958" xr:uid="{3E2EA4B5-0D24-48E1-9527-91DFF2D7ACF2}"/>
    <cellStyle name="Финансовый 2 5 2 4 2" xfId="1996" xr:uid="{3E2EA4B5-0D24-48E1-9527-91DFF2D7ACF2}"/>
    <cellStyle name="Финансовый 2 5 2 4 2 2" xfId="4990" xr:uid="{3E2EA4B5-0D24-48E1-9527-91DFF2D7ACF2}"/>
    <cellStyle name="Финансовый 2 5 2 4 3" xfId="2697" xr:uid="{3E2EA4B5-0D24-48E1-9527-91DFF2D7ACF2}"/>
    <cellStyle name="Финансовый 2 5 2 4 3 2" xfId="5691" xr:uid="{3E2EA4B5-0D24-48E1-9527-91DFF2D7ACF2}"/>
    <cellStyle name="Финансовый 2 5 2 4 4" xfId="3953" xr:uid="{3E2EA4B5-0D24-48E1-9527-91DFF2D7ACF2}"/>
    <cellStyle name="Финансовый 2 5 2 5" xfId="1306" xr:uid="{3E2EA4B5-0D24-48E1-9527-91DFF2D7ACF2}"/>
    <cellStyle name="Финансовый 2 5 2 5 2" xfId="2165" xr:uid="{3E2EA4B5-0D24-48E1-9527-91DFF2D7ACF2}"/>
    <cellStyle name="Финансовый 2 5 2 5 2 2" xfId="5159" xr:uid="{3E2EA4B5-0D24-48E1-9527-91DFF2D7ACF2}"/>
    <cellStyle name="Финансовый 2 5 2 5 3" xfId="4301" xr:uid="{3E2EA4B5-0D24-48E1-9527-91DFF2D7ACF2}"/>
    <cellStyle name="Финансовый 2 5 2 6" xfId="1726" xr:uid="{3E2EA4B5-0D24-48E1-9527-91DFF2D7ACF2}"/>
    <cellStyle name="Финансовый 2 5 2 6 2" xfId="4721" xr:uid="{3E2EA4B5-0D24-48E1-9527-91DFF2D7ACF2}"/>
    <cellStyle name="Финансовый 2 5 2 7" xfId="2592" xr:uid="{3E2EA4B5-0D24-48E1-9527-91DFF2D7ACF2}"/>
    <cellStyle name="Финансовый 2 5 2 7 2" xfId="5586" xr:uid="{3E2EA4B5-0D24-48E1-9527-91DFF2D7ACF2}"/>
    <cellStyle name="Финансовый 2 5 2 8" xfId="3508" xr:uid="{3E2EA4B5-0D24-48E1-9527-91DFF2D7ACF2}"/>
    <cellStyle name="Финансовый 2 5 3" xfId="537" xr:uid="{3E2EA4B5-0D24-48E1-9527-91DFF2D7ACF2}"/>
    <cellStyle name="Финансовый 2 5 3 2" xfId="875" xr:uid="{3E2EA4B5-0D24-48E1-9527-91DFF2D7ACF2}"/>
    <cellStyle name="Финансовый 2 5 3 2 2" xfId="1229" xr:uid="{3E2EA4B5-0D24-48E1-9527-91DFF2D7ACF2}"/>
    <cellStyle name="Финансовый 2 5 3 2 2 2" xfId="2109" xr:uid="{3E2EA4B5-0D24-48E1-9527-91DFF2D7ACF2}"/>
    <cellStyle name="Финансовый 2 5 3 2 2 2 2" xfId="5103" xr:uid="{3E2EA4B5-0D24-48E1-9527-91DFF2D7ACF2}"/>
    <cellStyle name="Финансовый 2 5 3 2 2 3" xfId="4224" xr:uid="{3E2EA4B5-0D24-48E1-9527-91DFF2D7ACF2}"/>
    <cellStyle name="Финансовый 2 5 3 2 3" xfId="1669" xr:uid="{3E2EA4B5-0D24-48E1-9527-91DFF2D7ACF2}"/>
    <cellStyle name="Финансовый 2 5 3 2 3 2" xfId="2369" xr:uid="{3E2EA4B5-0D24-48E1-9527-91DFF2D7ACF2}"/>
    <cellStyle name="Финансовый 2 5 3 2 3 2 2" xfId="5363" xr:uid="{3E2EA4B5-0D24-48E1-9527-91DFF2D7ACF2}"/>
    <cellStyle name="Финансовый 2 5 3 2 3 3" xfId="4664" xr:uid="{3E2EA4B5-0D24-48E1-9527-91DFF2D7ACF2}"/>
    <cellStyle name="Финансовый 2 5 3 2 4" xfId="1930" xr:uid="{3E2EA4B5-0D24-48E1-9527-91DFF2D7ACF2}"/>
    <cellStyle name="Финансовый 2 5 3 2 4 2" xfId="4925" xr:uid="{3E2EA4B5-0D24-48E1-9527-91DFF2D7ACF2}"/>
    <cellStyle name="Финансовый 2 5 3 2 5" xfId="3060" xr:uid="{3E2EA4B5-0D24-48E1-9527-91DFF2D7ACF2}"/>
    <cellStyle name="Финансовый 2 5 3 2 5 2" xfId="6054" xr:uid="{3E2EA4B5-0D24-48E1-9527-91DFF2D7ACF2}"/>
    <cellStyle name="Финансовый 2 5 3 2 6" xfId="3871" xr:uid="{3E2EA4B5-0D24-48E1-9527-91DFF2D7ACF2}"/>
    <cellStyle name="Финансовый 2 5 3 3" xfId="770" xr:uid="{3E2EA4B5-0D24-48E1-9527-91DFF2D7ACF2}"/>
    <cellStyle name="Финансовый 2 5 3 3 2" xfId="1564" xr:uid="{3E2EA4B5-0D24-48E1-9527-91DFF2D7ACF2}"/>
    <cellStyle name="Финансовый 2 5 3 3 2 2" xfId="2285" xr:uid="{3E2EA4B5-0D24-48E1-9527-91DFF2D7ACF2}"/>
    <cellStyle name="Финансовый 2 5 3 3 2 2 2" xfId="5279" xr:uid="{3E2EA4B5-0D24-48E1-9527-91DFF2D7ACF2}"/>
    <cellStyle name="Финансовый 2 5 3 3 2 3" xfId="4559" xr:uid="{3E2EA4B5-0D24-48E1-9527-91DFF2D7ACF2}"/>
    <cellStyle name="Финансовый 2 5 3 3 3" xfId="1846" xr:uid="{3E2EA4B5-0D24-48E1-9527-91DFF2D7ACF2}"/>
    <cellStyle name="Финансовый 2 5 3 3 3 2" xfId="4841" xr:uid="{3E2EA4B5-0D24-48E1-9527-91DFF2D7ACF2}"/>
    <cellStyle name="Финансовый 2 5 3 3 4" xfId="2955" xr:uid="{3E2EA4B5-0D24-48E1-9527-91DFF2D7ACF2}"/>
    <cellStyle name="Финансовый 2 5 3 3 4 2" xfId="5949" xr:uid="{3E2EA4B5-0D24-48E1-9527-91DFF2D7ACF2}"/>
    <cellStyle name="Финансовый 2 5 3 3 5" xfId="3766" xr:uid="{3E2EA4B5-0D24-48E1-9527-91DFF2D7ACF2}"/>
    <cellStyle name="Финансовый 2 5 3 4" xfId="980" xr:uid="{3E2EA4B5-0D24-48E1-9527-91DFF2D7ACF2}"/>
    <cellStyle name="Финансовый 2 5 3 4 2" xfId="2015" xr:uid="{3E2EA4B5-0D24-48E1-9527-91DFF2D7ACF2}"/>
    <cellStyle name="Финансовый 2 5 3 4 2 2" xfId="5009" xr:uid="{3E2EA4B5-0D24-48E1-9527-91DFF2D7ACF2}"/>
    <cellStyle name="Финансовый 2 5 3 4 3" xfId="2725" xr:uid="{3E2EA4B5-0D24-48E1-9527-91DFF2D7ACF2}"/>
    <cellStyle name="Финансовый 2 5 3 4 3 2" xfId="5719" xr:uid="{3E2EA4B5-0D24-48E1-9527-91DFF2D7ACF2}"/>
    <cellStyle name="Финансовый 2 5 3 4 4" xfId="3975" xr:uid="{3E2EA4B5-0D24-48E1-9527-91DFF2D7ACF2}"/>
    <cellStyle name="Финансовый 2 5 3 5" xfId="1334" xr:uid="{3E2EA4B5-0D24-48E1-9527-91DFF2D7ACF2}"/>
    <cellStyle name="Финансовый 2 5 3 5 2" xfId="2193" xr:uid="{3E2EA4B5-0D24-48E1-9527-91DFF2D7ACF2}"/>
    <cellStyle name="Финансовый 2 5 3 5 2 2" xfId="5187" xr:uid="{3E2EA4B5-0D24-48E1-9527-91DFF2D7ACF2}"/>
    <cellStyle name="Финансовый 2 5 3 5 3" xfId="4329" xr:uid="{3E2EA4B5-0D24-48E1-9527-91DFF2D7ACF2}"/>
    <cellStyle name="Финансовый 2 5 3 6" xfId="1754" xr:uid="{3E2EA4B5-0D24-48E1-9527-91DFF2D7ACF2}"/>
    <cellStyle name="Финансовый 2 5 3 6 2" xfId="4749" xr:uid="{3E2EA4B5-0D24-48E1-9527-91DFF2D7ACF2}"/>
    <cellStyle name="Финансовый 2 5 3 7" xfId="2620" xr:uid="{3E2EA4B5-0D24-48E1-9527-91DFF2D7ACF2}"/>
    <cellStyle name="Финансовый 2 5 3 7 2" xfId="5614" xr:uid="{3E2EA4B5-0D24-48E1-9527-91DFF2D7ACF2}"/>
    <cellStyle name="Финансовый 2 5 3 8" xfId="3536" xr:uid="{3E2EA4B5-0D24-48E1-9527-91DFF2D7ACF2}"/>
    <cellStyle name="Финансовый 2 5 4" xfId="819" xr:uid="{3E2EA4B5-0D24-48E1-9527-91DFF2D7ACF2}"/>
    <cellStyle name="Финансовый 2 5 4 2" xfId="1173" xr:uid="{3E2EA4B5-0D24-48E1-9527-91DFF2D7ACF2}"/>
    <cellStyle name="Финансовый 2 5 4 2 2" xfId="2053" xr:uid="{3E2EA4B5-0D24-48E1-9527-91DFF2D7ACF2}"/>
    <cellStyle name="Финансовый 2 5 4 2 2 2" xfId="5047" xr:uid="{3E2EA4B5-0D24-48E1-9527-91DFF2D7ACF2}"/>
    <cellStyle name="Финансовый 2 5 4 2 3" xfId="4168" xr:uid="{3E2EA4B5-0D24-48E1-9527-91DFF2D7ACF2}"/>
    <cellStyle name="Финансовый 2 5 4 3" xfId="1613" xr:uid="{3E2EA4B5-0D24-48E1-9527-91DFF2D7ACF2}"/>
    <cellStyle name="Финансовый 2 5 4 3 2" xfId="2313" xr:uid="{3E2EA4B5-0D24-48E1-9527-91DFF2D7ACF2}"/>
    <cellStyle name="Финансовый 2 5 4 3 2 2" xfId="5307" xr:uid="{3E2EA4B5-0D24-48E1-9527-91DFF2D7ACF2}"/>
    <cellStyle name="Финансовый 2 5 4 3 3" xfId="4608" xr:uid="{3E2EA4B5-0D24-48E1-9527-91DFF2D7ACF2}"/>
    <cellStyle name="Финансовый 2 5 4 4" xfId="1874" xr:uid="{3E2EA4B5-0D24-48E1-9527-91DFF2D7ACF2}"/>
    <cellStyle name="Финансовый 2 5 4 4 2" xfId="4869" xr:uid="{3E2EA4B5-0D24-48E1-9527-91DFF2D7ACF2}"/>
    <cellStyle name="Финансовый 2 5 4 5" xfId="3004" xr:uid="{3E2EA4B5-0D24-48E1-9527-91DFF2D7ACF2}"/>
    <cellStyle name="Финансовый 2 5 4 5 2" xfId="5998" xr:uid="{3E2EA4B5-0D24-48E1-9527-91DFF2D7ACF2}"/>
    <cellStyle name="Финансовый 2 5 4 6" xfId="3815" xr:uid="{3E2EA4B5-0D24-48E1-9527-91DFF2D7ACF2}"/>
    <cellStyle name="Финансовый 2 5 5" xfId="713" xr:uid="{3E2EA4B5-0D24-48E1-9527-91DFF2D7ACF2}"/>
    <cellStyle name="Финансовый 2 5 5 2" xfId="1508" xr:uid="{3E2EA4B5-0D24-48E1-9527-91DFF2D7ACF2}"/>
    <cellStyle name="Финансовый 2 5 5 2 2" xfId="2229" xr:uid="{3E2EA4B5-0D24-48E1-9527-91DFF2D7ACF2}"/>
    <cellStyle name="Финансовый 2 5 5 2 2 2" xfId="5223" xr:uid="{3E2EA4B5-0D24-48E1-9527-91DFF2D7ACF2}"/>
    <cellStyle name="Финансовый 2 5 5 2 3" xfId="4503" xr:uid="{3E2EA4B5-0D24-48E1-9527-91DFF2D7ACF2}"/>
    <cellStyle name="Финансовый 2 5 5 3" xfId="1790" xr:uid="{3E2EA4B5-0D24-48E1-9527-91DFF2D7ACF2}"/>
    <cellStyle name="Финансовый 2 5 5 3 2" xfId="4785" xr:uid="{3E2EA4B5-0D24-48E1-9527-91DFF2D7ACF2}"/>
    <cellStyle name="Финансовый 2 5 5 4" xfId="2899" xr:uid="{3E2EA4B5-0D24-48E1-9527-91DFF2D7ACF2}"/>
    <cellStyle name="Финансовый 2 5 5 4 2" xfId="5893" xr:uid="{3E2EA4B5-0D24-48E1-9527-91DFF2D7ACF2}"/>
    <cellStyle name="Финансовый 2 5 5 5" xfId="3710" xr:uid="{3E2EA4B5-0D24-48E1-9527-91DFF2D7ACF2}"/>
    <cellStyle name="Финансовый 2 5 6" xfId="922" xr:uid="{3E2EA4B5-0D24-48E1-9527-91DFF2D7ACF2}"/>
    <cellStyle name="Финансовый 2 5 6 2" xfId="1969" xr:uid="{3E2EA4B5-0D24-48E1-9527-91DFF2D7ACF2}"/>
    <cellStyle name="Финансовый 2 5 6 2 2" xfId="4963" xr:uid="{3E2EA4B5-0D24-48E1-9527-91DFF2D7ACF2}"/>
    <cellStyle name="Финансовый 2 5 6 3" xfId="2669" xr:uid="{3E2EA4B5-0D24-48E1-9527-91DFF2D7ACF2}"/>
    <cellStyle name="Финансовый 2 5 6 3 2" xfId="5663" xr:uid="{3E2EA4B5-0D24-48E1-9527-91DFF2D7ACF2}"/>
    <cellStyle name="Финансовый 2 5 6 4" xfId="3917" xr:uid="{3E2EA4B5-0D24-48E1-9527-91DFF2D7ACF2}"/>
    <cellStyle name="Финансовый 2 5 7" xfId="1278" xr:uid="{3E2EA4B5-0D24-48E1-9527-91DFF2D7ACF2}"/>
    <cellStyle name="Финансовый 2 5 7 2" xfId="2137" xr:uid="{3E2EA4B5-0D24-48E1-9527-91DFF2D7ACF2}"/>
    <cellStyle name="Финансовый 2 5 7 2 2" xfId="5131" xr:uid="{3E2EA4B5-0D24-48E1-9527-91DFF2D7ACF2}"/>
    <cellStyle name="Финансовый 2 5 7 3" xfId="4273" xr:uid="{3E2EA4B5-0D24-48E1-9527-91DFF2D7ACF2}"/>
    <cellStyle name="Финансовый 2 5 8" xfId="1698" xr:uid="{3E2EA4B5-0D24-48E1-9527-91DFF2D7ACF2}"/>
    <cellStyle name="Финансовый 2 5 8 2" xfId="4693" xr:uid="{3E2EA4B5-0D24-48E1-9527-91DFF2D7ACF2}"/>
    <cellStyle name="Финансовый 2 5 9" xfId="2564" xr:uid="{3E2EA4B5-0D24-48E1-9527-91DFF2D7ACF2}"/>
    <cellStyle name="Финансовый 2 5 9 2" xfId="5558" xr:uid="{3E2EA4B5-0D24-48E1-9527-91DFF2D7ACF2}"/>
    <cellStyle name="Финансовый 2 6" xfId="493" xr:uid="{3E2EA4B5-0D24-48E1-9527-91DFF2D7ACF2}"/>
    <cellStyle name="Финансовый 2 6 2" xfId="833" xr:uid="{3E2EA4B5-0D24-48E1-9527-91DFF2D7ACF2}"/>
    <cellStyle name="Финансовый 2 6 2 2" xfId="1187" xr:uid="{3E2EA4B5-0D24-48E1-9527-91DFF2D7ACF2}"/>
    <cellStyle name="Финансовый 2 6 2 2 2" xfId="2067" xr:uid="{3E2EA4B5-0D24-48E1-9527-91DFF2D7ACF2}"/>
    <cellStyle name="Финансовый 2 6 2 2 2 2" xfId="5061" xr:uid="{3E2EA4B5-0D24-48E1-9527-91DFF2D7ACF2}"/>
    <cellStyle name="Финансовый 2 6 2 2 3" xfId="4182" xr:uid="{3E2EA4B5-0D24-48E1-9527-91DFF2D7ACF2}"/>
    <cellStyle name="Финансовый 2 6 2 3" xfId="1627" xr:uid="{3E2EA4B5-0D24-48E1-9527-91DFF2D7ACF2}"/>
    <cellStyle name="Финансовый 2 6 2 3 2" xfId="2327" xr:uid="{3E2EA4B5-0D24-48E1-9527-91DFF2D7ACF2}"/>
    <cellStyle name="Финансовый 2 6 2 3 2 2" xfId="5321" xr:uid="{3E2EA4B5-0D24-48E1-9527-91DFF2D7ACF2}"/>
    <cellStyle name="Финансовый 2 6 2 3 3" xfId="4622" xr:uid="{3E2EA4B5-0D24-48E1-9527-91DFF2D7ACF2}"/>
    <cellStyle name="Финансовый 2 6 2 4" xfId="1888" xr:uid="{3E2EA4B5-0D24-48E1-9527-91DFF2D7ACF2}"/>
    <cellStyle name="Финансовый 2 6 2 4 2" xfId="4883" xr:uid="{3E2EA4B5-0D24-48E1-9527-91DFF2D7ACF2}"/>
    <cellStyle name="Финансовый 2 6 2 5" xfId="3018" xr:uid="{3E2EA4B5-0D24-48E1-9527-91DFF2D7ACF2}"/>
    <cellStyle name="Финансовый 2 6 2 5 2" xfId="6012" xr:uid="{3E2EA4B5-0D24-48E1-9527-91DFF2D7ACF2}"/>
    <cellStyle name="Финансовый 2 6 2 6" xfId="3829" xr:uid="{3E2EA4B5-0D24-48E1-9527-91DFF2D7ACF2}"/>
    <cellStyle name="Финансовый 2 6 3" xfId="727" xr:uid="{3E2EA4B5-0D24-48E1-9527-91DFF2D7ACF2}"/>
    <cellStyle name="Финансовый 2 6 3 2" xfId="1522" xr:uid="{3E2EA4B5-0D24-48E1-9527-91DFF2D7ACF2}"/>
    <cellStyle name="Финансовый 2 6 3 2 2" xfId="2243" xr:uid="{3E2EA4B5-0D24-48E1-9527-91DFF2D7ACF2}"/>
    <cellStyle name="Финансовый 2 6 3 2 2 2" xfId="5237" xr:uid="{3E2EA4B5-0D24-48E1-9527-91DFF2D7ACF2}"/>
    <cellStyle name="Финансовый 2 6 3 2 3" xfId="4517" xr:uid="{3E2EA4B5-0D24-48E1-9527-91DFF2D7ACF2}"/>
    <cellStyle name="Финансовый 2 6 3 3" xfId="1804" xr:uid="{3E2EA4B5-0D24-48E1-9527-91DFF2D7ACF2}"/>
    <cellStyle name="Финансовый 2 6 3 3 2" xfId="4799" xr:uid="{3E2EA4B5-0D24-48E1-9527-91DFF2D7ACF2}"/>
    <cellStyle name="Финансовый 2 6 3 4" xfId="2913" xr:uid="{3E2EA4B5-0D24-48E1-9527-91DFF2D7ACF2}"/>
    <cellStyle name="Финансовый 2 6 3 4 2" xfId="5907" xr:uid="{3E2EA4B5-0D24-48E1-9527-91DFF2D7ACF2}"/>
    <cellStyle name="Финансовый 2 6 3 5" xfId="3724" xr:uid="{3E2EA4B5-0D24-48E1-9527-91DFF2D7ACF2}"/>
    <cellStyle name="Финансовый 2 6 4" xfId="924" xr:uid="{3E2EA4B5-0D24-48E1-9527-91DFF2D7ACF2}"/>
    <cellStyle name="Финансовый 2 6 4 2" xfId="1971" xr:uid="{3E2EA4B5-0D24-48E1-9527-91DFF2D7ACF2}"/>
    <cellStyle name="Финансовый 2 6 4 2 2" xfId="4965" xr:uid="{3E2EA4B5-0D24-48E1-9527-91DFF2D7ACF2}"/>
    <cellStyle name="Финансовый 2 6 4 3" xfId="2683" xr:uid="{3E2EA4B5-0D24-48E1-9527-91DFF2D7ACF2}"/>
    <cellStyle name="Финансовый 2 6 4 3 2" xfId="5677" xr:uid="{3E2EA4B5-0D24-48E1-9527-91DFF2D7ACF2}"/>
    <cellStyle name="Финансовый 2 6 4 4" xfId="3919" xr:uid="{3E2EA4B5-0D24-48E1-9527-91DFF2D7ACF2}"/>
    <cellStyle name="Финансовый 2 6 5" xfId="1292" xr:uid="{3E2EA4B5-0D24-48E1-9527-91DFF2D7ACF2}"/>
    <cellStyle name="Финансовый 2 6 5 2" xfId="2151" xr:uid="{3E2EA4B5-0D24-48E1-9527-91DFF2D7ACF2}"/>
    <cellStyle name="Финансовый 2 6 5 2 2" xfId="5145" xr:uid="{3E2EA4B5-0D24-48E1-9527-91DFF2D7ACF2}"/>
    <cellStyle name="Финансовый 2 6 5 3" xfId="4287" xr:uid="{3E2EA4B5-0D24-48E1-9527-91DFF2D7ACF2}"/>
    <cellStyle name="Финансовый 2 6 6" xfId="1712" xr:uid="{3E2EA4B5-0D24-48E1-9527-91DFF2D7ACF2}"/>
    <cellStyle name="Финансовый 2 6 6 2" xfId="4707" xr:uid="{3E2EA4B5-0D24-48E1-9527-91DFF2D7ACF2}"/>
    <cellStyle name="Финансовый 2 6 7" xfId="2578" xr:uid="{3E2EA4B5-0D24-48E1-9527-91DFF2D7ACF2}"/>
    <cellStyle name="Финансовый 2 6 7 2" xfId="5572" xr:uid="{3E2EA4B5-0D24-48E1-9527-91DFF2D7ACF2}"/>
    <cellStyle name="Финансовый 2 6 8" xfId="3494" xr:uid="{3E2EA4B5-0D24-48E1-9527-91DFF2D7ACF2}"/>
    <cellStyle name="Финансовый 2 7" xfId="523" xr:uid="{3E2EA4B5-0D24-48E1-9527-91DFF2D7ACF2}"/>
    <cellStyle name="Финансовый 2 7 2" xfId="861" xr:uid="{3E2EA4B5-0D24-48E1-9527-91DFF2D7ACF2}"/>
    <cellStyle name="Финансовый 2 7 2 2" xfId="1215" xr:uid="{3E2EA4B5-0D24-48E1-9527-91DFF2D7ACF2}"/>
    <cellStyle name="Финансовый 2 7 2 2 2" xfId="2095" xr:uid="{3E2EA4B5-0D24-48E1-9527-91DFF2D7ACF2}"/>
    <cellStyle name="Финансовый 2 7 2 2 2 2" xfId="5089" xr:uid="{3E2EA4B5-0D24-48E1-9527-91DFF2D7ACF2}"/>
    <cellStyle name="Финансовый 2 7 2 2 3" xfId="4210" xr:uid="{3E2EA4B5-0D24-48E1-9527-91DFF2D7ACF2}"/>
    <cellStyle name="Финансовый 2 7 2 3" xfId="1655" xr:uid="{3E2EA4B5-0D24-48E1-9527-91DFF2D7ACF2}"/>
    <cellStyle name="Финансовый 2 7 2 3 2" xfId="2355" xr:uid="{3E2EA4B5-0D24-48E1-9527-91DFF2D7ACF2}"/>
    <cellStyle name="Финансовый 2 7 2 3 2 2" xfId="5349" xr:uid="{3E2EA4B5-0D24-48E1-9527-91DFF2D7ACF2}"/>
    <cellStyle name="Финансовый 2 7 2 3 3" xfId="4650" xr:uid="{3E2EA4B5-0D24-48E1-9527-91DFF2D7ACF2}"/>
    <cellStyle name="Финансовый 2 7 2 4" xfId="1916" xr:uid="{3E2EA4B5-0D24-48E1-9527-91DFF2D7ACF2}"/>
    <cellStyle name="Финансовый 2 7 2 4 2" xfId="4911" xr:uid="{3E2EA4B5-0D24-48E1-9527-91DFF2D7ACF2}"/>
    <cellStyle name="Финансовый 2 7 2 5" xfId="3046" xr:uid="{3E2EA4B5-0D24-48E1-9527-91DFF2D7ACF2}"/>
    <cellStyle name="Финансовый 2 7 2 5 2" xfId="6040" xr:uid="{3E2EA4B5-0D24-48E1-9527-91DFF2D7ACF2}"/>
    <cellStyle name="Финансовый 2 7 2 6" xfId="3857" xr:uid="{3E2EA4B5-0D24-48E1-9527-91DFF2D7ACF2}"/>
    <cellStyle name="Финансовый 2 7 3" xfId="756" xr:uid="{3E2EA4B5-0D24-48E1-9527-91DFF2D7ACF2}"/>
    <cellStyle name="Финансовый 2 7 3 2" xfId="1550" xr:uid="{3E2EA4B5-0D24-48E1-9527-91DFF2D7ACF2}"/>
    <cellStyle name="Финансовый 2 7 3 2 2" xfId="2271" xr:uid="{3E2EA4B5-0D24-48E1-9527-91DFF2D7ACF2}"/>
    <cellStyle name="Финансовый 2 7 3 2 2 2" xfId="5265" xr:uid="{3E2EA4B5-0D24-48E1-9527-91DFF2D7ACF2}"/>
    <cellStyle name="Финансовый 2 7 3 2 3" xfId="4545" xr:uid="{3E2EA4B5-0D24-48E1-9527-91DFF2D7ACF2}"/>
    <cellStyle name="Финансовый 2 7 3 3" xfId="1832" xr:uid="{3E2EA4B5-0D24-48E1-9527-91DFF2D7ACF2}"/>
    <cellStyle name="Финансовый 2 7 3 3 2" xfId="4827" xr:uid="{3E2EA4B5-0D24-48E1-9527-91DFF2D7ACF2}"/>
    <cellStyle name="Финансовый 2 7 3 4" xfId="2941" xr:uid="{3E2EA4B5-0D24-48E1-9527-91DFF2D7ACF2}"/>
    <cellStyle name="Финансовый 2 7 3 4 2" xfId="5935" xr:uid="{3E2EA4B5-0D24-48E1-9527-91DFF2D7ACF2}"/>
    <cellStyle name="Финансовый 2 7 3 5" xfId="3752" xr:uid="{3E2EA4B5-0D24-48E1-9527-91DFF2D7ACF2}"/>
    <cellStyle name="Финансовый 2 7 4" xfId="896" xr:uid="{3E2EA4B5-0D24-48E1-9527-91DFF2D7ACF2}"/>
    <cellStyle name="Финансовый 2 7 4 2" xfId="1948" xr:uid="{3E2EA4B5-0D24-48E1-9527-91DFF2D7ACF2}"/>
    <cellStyle name="Финансовый 2 7 4 2 2" xfId="4943" xr:uid="{3E2EA4B5-0D24-48E1-9527-91DFF2D7ACF2}"/>
    <cellStyle name="Финансовый 2 7 4 3" xfId="2711" xr:uid="{3E2EA4B5-0D24-48E1-9527-91DFF2D7ACF2}"/>
    <cellStyle name="Финансовый 2 7 4 3 2" xfId="5705" xr:uid="{3E2EA4B5-0D24-48E1-9527-91DFF2D7ACF2}"/>
    <cellStyle name="Финансовый 2 7 4 4" xfId="3892" xr:uid="{3E2EA4B5-0D24-48E1-9527-91DFF2D7ACF2}"/>
    <cellStyle name="Финансовый 2 7 5" xfId="1320" xr:uid="{3E2EA4B5-0D24-48E1-9527-91DFF2D7ACF2}"/>
    <cellStyle name="Финансовый 2 7 5 2" xfId="2179" xr:uid="{3E2EA4B5-0D24-48E1-9527-91DFF2D7ACF2}"/>
    <cellStyle name="Финансовый 2 7 5 2 2" xfId="5173" xr:uid="{3E2EA4B5-0D24-48E1-9527-91DFF2D7ACF2}"/>
    <cellStyle name="Финансовый 2 7 5 3" xfId="4315" xr:uid="{3E2EA4B5-0D24-48E1-9527-91DFF2D7ACF2}"/>
    <cellStyle name="Финансовый 2 7 6" xfId="1740" xr:uid="{3E2EA4B5-0D24-48E1-9527-91DFF2D7ACF2}"/>
    <cellStyle name="Финансовый 2 7 6 2" xfId="4735" xr:uid="{3E2EA4B5-0D24-48E1-9527-91DFF2D7ACF2}"/>
    <cellStyle name="Финансовый 2 7 7" xfId="2606" xr:uid="{3E2EA4B5-0D24-48E1-9527-91DFF2D7ACF2}"/>
    <cellStyle name="Финансовый 2 7 7 2" xfId="5600" xr:uid="{3E2EA4B5-0D24-48E1-9527-91DFF2D7ACF2}"/>
    <cellStyle name="Финансовый 2 7 8" xfId="3522" xr:uid="{3E2EA4B5-0D24-48E1-9527-91DFF2D7ACF2}"/>
    <cellStyle name="Финансовый 2 8" xfId="789" xr:uid="{3E2EA4B5-0D24-48E1-9527-91DFF2D7ACF2}"/>
    <cellStyle name="Финансовый 2 8 2" xfId="1143" xr:uid="{3E2EA4B5-0D24-48E1-9527-91DFF2D7ACF2}"/>
    <cellStyle name="Финансовый 2 8 2 2" xfId="2039" xr:uid="{3E2EA4B5-0D24-48E1-9527-91DFF2D7ACF2}"/>
    <cellStyle name="Финансовый 2 8 2 2 2" xfId="5033" xr:uid="{3E2EA4B5-0D24-48E1-9527-91DFF2D7ACF2}"/>
    <cellStyle name="Финансовый 2 8 2 3" xfId="4138" xr:uid="{3E2EA4B5-0D24-48E1-9527-91DFF2D7ACF2}"/>
    <cellStyle name="Финансовый 2 8 3" xfId="1583" xr:uid="{3E2EA4B5-0D24-48E1-9527-91DFF2D7ACF2}"/>
    <cellStyle name="Финансовый 2 8 3 2" xfId="2299" xr:uid="{3E2EA4B5-0D24-48E1-9527-91DFF2D7ACF2}"/>
    <cellStyle name="Финансовый 2 8 3 2 2" xfId="5293" xr:uid="{3E2EA4B5-0D24-48E1-9527-91DFF2D7ACF2}"/>
    <cellStyle name="Финансовый 2 8 3 3" xfId="4578" xr:uid="{3E2EA4B5-0D24-48E1-9527-91DFF2D7ACF2}"/>
    <cellStyle name="Финансовый 2 8 4" xfId="1860" xr:uid="{3E2EA4B5-0D24-48E1-9527-91DFF2D7ACF2}"/>
    <cellStyle name="Финансовый 2 8 4 2" xfId="4855" xr:uid="{3E2EA4B5-0D24-48E1-9527-91DFF2D7ACF2}"/>
    <cellStyle name="Финансовый 2 8 5" xfId="2974" xr:uid="{3E2EA4B5-0D24-48E1-9527-91DFF2D7ACF2}"/>
    <cellStyle name="Финансовый 2 8 5 2" xfId="5968" xr:uid="{3E2EA4B5-0D24-48E1-9527-91DFF2D7ACF2}"/>
    <cellStyle name="Финансовый 2 8 6" xfId="3785" xr:uid="{3E2EA4B5-0D24-48E1-9527-91DFF2D7ACF2}"/>
    <cellStyle name="Финансовый 2 9" xfId="683" xr:uid="{3E2EA4B5-0D24-48E1-9527-91DFF2D7ACF2}"/>
    <cellStyle name="Финансовый 2 9 2" xfId="1478" xr:uid="{3E2EA4B5-0D24-48E1-9527-91DFF2D7ACF2}"/>
    <cellStyle name="Финансовый 2 9 2 2" xfId="2215" xr:uid="{3E2EA4B5-0D24-48E1-9527-91DFF2D7ACF2}"/>
    <cellStyle name="Финансовый 2 9 2 2 2" xfId="5209" xr:uid="{3E2EA4B5-0D24-48E1-9527-91DFF2D7ACF2}"/>
    <cellStyle name="Финансовый 2 9 2 3" xfId="4473" xr:uid="{3E2EA4B5-0D24-48E1-9527-91DFF2D7ACF2}"/>
    <cellStyle name="Финансовый 2 9 3" xfId="1776" xr:uid="{3E2EA4B5-0D24-48E1-9527-91DFF2D7ACF2}"/>
    <cellStyle name="Финансовый 2 9 3 2" xfId="4771" xr:uid="{3E2EA4B5-0D24-48E1-9527-91DFF2D7ACF2}"/>
    <cellStyle name="Финансовый 2 9 4" xfId="2869" xr:uid="{3E2EA4B5-0D24-48E1-9527-91DFF2D7ACF2}"/>
    <cellStyle name="Финансовый 2 9 4 2" xfId="5863" xr:uid="{3E2EA4B5-0D24-48E1-9527-91DFF2D7ACF2}"/>
    <cellStyle name="Финансовый 2 9 5" xfId="3680" xr:uid="{3E2EA4B5-0D24-48E1-9527-91DFF2D7ACF2}"/>
    <cellStyle name="常规 2 44" xfId="464" xr:uid="{400E96C2-D8A0-4000-A425-C6D18DA9AFB3}"/>
    <cellStyle name="常规 3" xfId="442" xr:uid="{538E28E5-F6E3-4104-9EEA-9D05BE462BB8}"/>
    <cellStyle name="常规_测点清单" xfId="505" xr:uid="{C240CA39-7AEF-4114-AAEC-86858A7E74E6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</xdr:colOff>
          <xdr:row>3</xdr:row>
          <xdr:rowOff>19050</xdr:rowOff>
        </xdr:from>
        <xdr:to>
          <xdr:col>3</xdr:col>
          <xdr:colOff>314325</xdr:colOff>
          <xdr:row>4</xdr:row>
          <xdr:rowOff>38100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Скрыть неиспользуемое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95250</xdr:colOff>
          <xdr:row>4</xdr:row>
          <xdr:rowOff>257175</xdr:rowOff>
        </xdr:from>
        <xdr:to>
          <xdr:col>3</xdr:col>
          <xdr:colOff>314325</xdr:colOff>
          <xdr:row>6</xdr:row>
          <xdr:rowOff>85725</xdr:rowOff>
        </xdr:to>
        <xdr:sp macro="" textlink="">
          <xdr:nvSpPr>
            <xdr:cNvPr id="5124" name="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Показать все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6</xdr:row>
          <xdr:rowOff>333375</xdr:rowOff>
        </xdr:from>
        <xdr:to>
          <xdr:col>3</xdr:col>
          <xdr:colOff>295275</xdr:colOff>
          <xdr:row>8</xdr:row>
          <xdr:rowOff>142875</xdr:rowOff>
        </xdr:to>
        <xdr:sp macro="" textlink="">
          <xdr:nvSpPr>
            <xdr:cNvPr id="5129" name="Button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Распределить по шкафам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16340</xdr:colOff>
      <xdr:row>9</xdr:row>
      <xdr:rowOff>11487</xdr:rowOff>
    </xdr:from>
    <xdr:to>
      <xdr:col>45</xdr:col>
      <xdr:colOff>1325</xdr:colOff>
      <xdr:row>11</xdr:row>
      <xdr:rowOff>154363</xdr:rowOff>
    </xdr:to>
    <xdr:sp macro="" textlink="">
      <xdr:nvSpPr>
        <xdr:cNvPr id="2" name="Стрелка: вверх-вниз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7393862" y="1613928"/>
          <a:ext cx="60627" cy="467847"/>
        </a:xfrm>
        <a:prstGeom prst="upDownArrow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Ins="90000" rtlCol="0" anchor="ctr" anchorCtr="0"/>
        <a:lstStyle/>
        <a:p>
          <a:pPr algn="l"/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40</xdr:col>
      <xdr:colOff>186990</xdr:colOff>
      <xdr:row>9</xdr:row>
      <xdr:rowOff>14357</xdr:rowOff>
    </xdr:from>
    <xdr:to>
      <xdr:col>41</xdr:col>
      <xdr:colOff>55694</xdr:colOff>
      <xdr:row>11</xdr:row>
      <xdr:rowOff>154202</xdr:rowOff>
    </xdr:to>
    <xdr:sp macro="" textlink="">
      <xdr:nvSpPr>
        <xdr:cNvPr id="3" name="Стрелка: вверх-вниз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5620291" y="1616798"/>
          <a:ext cx="59204" cy="464816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110</xdr:col>
      <xdr:colOff>571501</xdr:colOff>
      <xdr:row>26</xdr:row>
      <xdr:rowOff>80392</xdr:rowOff>
    </xdr:from>
    <xdr:to>
      <xdr:col>121</xdr:col>
      <xdr:colOff>454568</xdr:colOff>
      <xdr:row>39</xdr:row>
      <xdr:rowOff>57980</xdr:rowOff>
    </xdr:to>
    <xdr:sp macro="" textlink="">
      <xdr:nvSpPr>
        <xdr:cNvPr id="36" name="Прямоугольник: скругленные углы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41777479" y="4751783"/>
          <a:ext cx="6625111" cy="2180762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4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Не входит в объем поставки.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4</xdr:row>
          <xdr:rowOff>142875</xdr:rowOff>
        </xdr:from>
        <xdr:to>
          <xdr:col>3</xdr:col>
          <xdr:colOff>295275</xdr:colOff>
          <xdr:row>7</xdr:row>
          <xdr:rowOff>142875</xdr:rowOff>
        </xdr:to>
        <xdr:sp macro="" textlink="">
          <xdr:nvSpPr>
            <xdr:cNvPr id="6148" name="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Скрыть неиспользуемое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9</xdr:row>
          <xdr:rowOff>9525</xdr:rowOff>
        </xdr:from>
        <xdr:to>
          <xdr:col>3</xdr:col>
          <xdr:colOff>295275</xdr:colOff>
          <xdr:row>12</xdr:row>
          <xdr:rowOff>0</xdr:rowOff>
        </xdr:to>
        <xdr:sp macro="" textlink="">
          <xdr:nvSpPr>
            <xdr:cNvPr id="6149" name="Butto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Показать все</a:t>
              </a:r>
            </a:p>
          </xdr:txBody>
        </xdr:sp>
        <xdr:clientData fPrintsWithSheet="0"/>
      </xdr:twoCellAnchor>
    </mc:Choice>
    <mc:Fallback/>
  </mc:AlternateContent>
  <xdr:twoCellAnchor>
    <xdr:from>
      <xdr:col>23</xdr:col>
      <xdr:colOff>315164</xdr:colOff>
      <xdr:row>38</xdr:row>
      <xdr:rowOff>42883</xdr:rowOff>
    </xdr:from>
    <xdr:to>
      <xdr:col>23</xdr:col>
      <xdr:colOff>535050</xdr:colOff>
      <xdr:row>39</xdr:row>
      <xdr:rowOff>98717</xdr:rowOff>
    </xdr:to>
    <xdr:grpSp>
      <xdr:nvGrpSpPr>
        <xdr:cNvPr id="47" name="Group 26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pSpPr>
          <a:grpSpLocks/>
        </xdr:cNvGrpSpPr>
      </xdr:nvGrpSpPr>
      <xdr:grpSpPr bwMode="auto">
        <a:xfrm>
          <a:off x="8609241" y="6519883"/>
          <a:ext cx="219886" cy="217026"/>
          <a:chOff x="49" y="502"/>
          <a:chExt cx="17" cy="19"/>
        </a:xfrm>
      </xdr:grpSpPr>
      <xdr:sp macro="" textlink="">
        <xdr:nvSpPr>
          <xdr:cNvPr id="48" name="Oval 262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9" y="502"/>
            <a:ext cx="17" cy="19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" name="Line 263">
            <a:extLst>
              <a:ext uri="{FF2B5EF4-FFF2-40B4-BE49-F238E27FC236}">
                <a16:creationId xmlns:a16="http://schemas.microsoft.com/office/drawing/2014/main" id="{00000000-0008-0000-03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264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316057</xdr:colOff>
      <xdr:row>38</xdr:row>
      <xdr:rowOff>42740</xdr:rowOff>
    </xdr:from>
    <xdr:to>
      <xdr:col>26</xdr:col>
      <xdr:colOff>535943</xdr:colOff>
      <xdr:row>39</xdr:row>
      <xdr:rowOff>98574</xdr:rowOff>
    </xdr:to>
    <xdr:grpSp>
      <xdr:nvGrpSpPr>
        <xdr:cNvPr id="51" name="Group 26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pSpPr>
          <a:grpSpLocks/>
        </xdr:cNvGrpSpPr>
      </xdr:nvGrpSpPr>
      <xdr:grpSpPr bwMode="auto">
        <a:xfrm>
          <a:off x="9716499" y="6519740"/>
          <a:ext cx="219886" cy="217026"/>
          <a:chOff x="49" y="502"/>
          <a:chExt cx="17" cy="19"/>
        </a:xfrm>
      </xdr:grpSpPr>
      <xdr:sp macro="" textlink="">
        <xdr:nvSpPr>
          <xdr:cNvPr id="52" name="Oval 262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49" y="502"/>
            <a:ext cx="17" cy="19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" name="Line 263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64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315910</xdr:colOff>
      <xdr:row>38</xdr:row>
      <xdr:rowOff>42836</xdr:rowOff>
    </xdr:from>
    <xdr:to>
      <xdr:col>29</xdr:col>
      <xdr:colOff>536434</xdr:colOff>
      <xdr:row>39</xdr:row>
      <xdr:rowOff>98670</xdr:rowOff>
    </xdr:to>
    <xdr:grpSp>
      <xdr:nvGrpSpPr>
        <xdr:cNvPr id="55" name="Group 26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pSpPr>
          <a:grpSpLocks/>
        </xdr:cNvGrpSpPr>
      </xdr:nvGrpSpPr>
      <xdr:grpSpPr bwMode="auto">
        <a:xfrm>
          <a:off x="10822718" y="6519836"/>
          <a:ext cx="220524" cy="217026"/>
          <a:chOff x="49" y="502"/>
          <a:chExt cx="17" cy="19"/>
        </a:xfrm>
      </xdr:grpSpPr>
      <xdr:sp macro="" textlink="">
        <xdr:nvSpPr>
          <xdr:cNvPr id="56" name="Oval 262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49" y="502"/>
            <a:ext cx="17" cy="19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" name="Line 263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264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32</xdr:col>
      <xdr:colOff>316159</xdr:colOff>
      <xdr:row>38</xdr:row>
      <xdr:rowOff>41491</xdr:rowOff>
    </xdr:from>
    <xdr:to>
      <xdr:col>32</xdr:col>
      <xdr:colOff>536045</xdr:colOff>
      <xdr:row>39</xdr:row>
      <xdr:rowOff>97325</xdr:rowOff>
    </xdr:to>
    <xdr:grpSp>
      <xdr:nvGrpSpPr>
        <xdr:cNvPr id="59" name="Group 26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GrpSpPr>
          <a:grpSpLocks/>
        </xdr:cNvGrpSpPr>
      </xdr:nvGrpSpPr>
      <xdr:grpSpPr bwMode="auto">
        <a:xfrm>
          <a:off x="11929332" y="6518491"/>
          <a:ext cx="219886" cy="217026"/>
          <a:chOff x="49" y="502"/>
          <a:chExt cx="17" cy="19"/>
        </a:xfrm>
      </xdr:grpSpPr>
      <xdr:sp macro="" textlink="">
        <xdr:nvSpPr>
          <xdr:cNvPr id="60" name="Oval 262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SpPr>
            <a:spLocks noChangeArrowheads="1"/>
          </xdr:cNvSpPr>
        </xdr:nvSpPr>
        <xdr:spPr bwMode="auto">
          <a:xfrm>
            <a:off x="49" y="502"/>
            <a:ext cx="17" cy="19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" name="Line 263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64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605102</xdr:colOff>
      <xdr:row>38</xdr:row>
      <xdr:rowOff>42055</xdr:rowOff>
    </xdr:from>
    <xdr:to>
      <xdr:col>35</xdr:col>
      <xdr:colOff>816809</xdr:colOff>
      <xdr:row>39</xdr:row>
      <xdr:rowOff>97889</xdr:rowOff>
    </xdr:to>
    <xdr:grpSp>
      <xdr:nvGrpSpPr>
        <xdr:cNvPr id="84" name="Group 26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GrpSpPr>
          <a:grpSpLocks/>
        </xdr:cNvGrpSpPr>
      </xdr:nvGrpSpPr>
      <xdr:grpSpPr bwMode="auto">
        <a:xfrm>
          <a:off x="13324640" y="6519055"/>
          <a:ext cx="211707" cy="217026"/>
          <a:chOff x="49" y="502"/>
          <a:chExt cx="17" cy="19"/>
        </a:xfrm>
      </xdr:grpSpPr>
      <xdr:sp macro="" textlink="">
        <xdr:nvSpPr>
          <xdr:cNvPr id="85" name="Oval 262">
            <a:extLst>
              <a:ext uri="{FF2B5EF4-FFF2-40B4-BE49-F238E27FC236}">
                <a16:creationId xmlns:a16="http://schemas.microsoft.com/office/drawing/2014/main" id="{00000000-0008-0000-0300-000055000000}"/>
              </a:ext>
            </a:extLst>
          </xdr:cNvPr>
          <xdr:cNvSpPr>
            <a:spLocks noChangeArrowheads="1"/>
          </xdr:cNvSpPr>
        </xdr:nvSpPr>
        <xdr:spPr bwMode="auto">
          <a:xfrm>
            <a:off x="49" y="502"/>
            <a:ext cx="17" cy="19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6" name="Line 263">
            <a:extLst>
              <a:ext uri="{FF2B5EF4-FFF2-40B4-BE49-F238E27FC236}">
                <a16:creationId xmlns:a16="http://schemas.microsoft.com/office/drawing/2014/main" id="{00000000-0008-0000-0300-00005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64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647223</xdr:colOff>
      <xdr:row>38</xdr:row>
      <xdr:rowOff>40618</xdr:rowOff>
    </xdr:from>
    <xdr:to>
      <xdr:col>38</xdr:col>
      <xdr:colOff>854270</xdr:colOff>
      <xdr:row>39</xdr:row>
      <xdr:rowOff>96452</xdr:rowOff>
    </xdr:to>
    <xdr:grpSp>
      <xdr:nvGrpSpPr>
        <xdr:cNvPr id="88" name="Group 261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GrpSpPr>
          <a:grpSpLocks/>
        </xdr:cNvGrpSpPr>
      </xdr:nvGrpSpPr>
      <xdr:grpSpPr bwMode="auto">
        <a:xfrm>
          <a:off x="14758877" y="6517618"/>
          <a:ext cx="207047" cy="217026"/>
          <a:chOff x="49" y="502"/>
          <a:chExt cx="17" cy="19"/>
        </a:xfrm>
      </xdr:grpSpPr>
      <xdr:sp macro="" textlink="">
        <xdr:nvSpPr>
          <xdr:cNvPr id="89" name="Oval 262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49" y="502"/>
            <a:ext cx="17" cy="19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0" name="Line 263">
            <a:extLst>
              <a:ext uri="{FF2B5EF4-FFF2-40B4-BE49-F238E27FC236}">
                <a16:creationId xmlns:a16="http://schemas.microsoft.com/office/drawing/2014/main" id="{00000000-0008-0000-03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64">
            <a:extLst>
              <a:ext uri="{FF2B5EF4-FFF2-40B4-BE49-F238E27FC236}">
                <a16:creationId xmlns:a16="http://schemas.microsoft.com/office/drawing/2014/main" id="{00000000-0008-0000-0300-00005B00000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52" y="506"/>
            <a:ext cx="11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627279</xdr:colOff>
      <xdr:row>38</xdr:row>
      <xdr:rowOff>40544</xdr:rowOff>
    </xdr:from>
    <xdr:to>
      <xdr:col>46</xdr:col>
      <xdr:colOff>795839</xdr:colOff>
      <xdr:row>39</xdr:row>
      <xdr:rowOff>112030</xdr:rowOff>
    </xdr:to>
    <xdr:grpSp>
      <xdr:nvGrpSpPr>
        <xdr:cNvPr id="124" name="Group 190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GrpSpPr>
          <a:grpSpLocks/>
        </xdr:cNvGrpSpPr>
      </xdr:nvGrpSpPr>
      <xdr:grpSpPr bwMode="auto">
        <a:xfrm>
          <a:off x="18160606" y="6517544"/>
          <a:ext cx="168560" cy="232678"/>
          <a:chOff x="323" y="492"/>
          <a:chExt cx="18" cy="25"/>
        </a:xfrm>
      </xdr:grpSpPr>
      <xdr:sp macro="" textlink="">
        <xdr:nvSpPr>
          <xdr:cNvPr id="125" name="AutoShape 191">
            <a:extLst>
              <a:ext uri="{FF2B5EF4-FFF2-40B4-BE49-F238E27FC236}">
                <a16:creationId xmlns:a16="http://schemas.microsoft.com/office/drawing/2014/main" id="{00000000-0008-0000-0300-00007D00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328" y="487"/>
            <a:ext cx="8" cy="18"/>
          </a:xfrm>
          <a:prstGeom prst="flowChartDelay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26" name="Group 192">
            <a:extLst>
              <a:ext uri="{FF2B5EF4-FFF2-40B4-BE49-F238E27FC236}">
                <a16:creationId xmlns:a16="http://schemas.microsoft.com/office/drawing/2014/main" id="{00000000-0008-0000-0300-00007E000000}"/>
              </a:ext>
            </a:extLst>
          </xdr:cNvPr>
          <xdr:cNvGrpSpPr>
            <a:grpSpLocks/>
          </xdr:cNvGrpSpPr>
        </xdr:nvGrpSpPr>
        <xdr:grpSpPr bwMode="auto">
          <a:xfrm>
            <a:off x="323" y="507"/>
            <a:ext cx="18" cy="10"/>
            <a:chOff x="326" y="517"/>
            <a:chExt cx="18" cy="10"/>
          </a:xfrm>
        </xdr:grpSpPr>
        <xdr:sp macro="" textlink="">
          <xdr:nvSpPr>
            <xdr:cNvPr id="128" name="AutoShape 193">
              <a:extLst>
                <a:ext uri="{FF2B5EF4-FFF2-40B4-BE49-F238E27FC236}">
                  <a16:creationId xmlns:a16="http://schemas.microsoft.com/office/drawing/2014/main" id="{00000000-0008-0000-0300-00008000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335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9" name="AutoShape 194">
              <a:extLst>
                <a:ext uri="{FF2B5EF4-FFF2-40B4-BE49-F238E27FC236}">
                  <a16:creationId xmlns:a16="http://schemas.microsoft.com/office/drawing/2014/main" id="{00000000-0008-0000-0300-00008100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335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0" name="AutoShape 195">
              <a:extLst>
                <a:ext uri="{FF2B5EF4-FFF2-40B4-BE49-F238E27FC236}">
                  <a16:creationId xmlns:a16="http://schemas.microsoft.com/office/drawing/2014/main" id="{00000000-0008-0000-0300-000082000000}"/>
                </a:ext>
              </a:extLst>
            </xdr:cNvPr>
            <xdr:cNvSpPr>
              <a:spLocks noChangeArrowheads="1"/>
            </xdr:cNvSpPr>
          </xdr:nvSpPr>
          <xdr:spPr bwMode="auto">
            <a:xfrm rot="5400000">
              <a:off x="326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127" name="Line 196">
            <a:extLst>
              <a:ext uri="{FF2B5EF4-FFF2-40B4-BE49-F238E27FC236}">
                <a16:creationId xmlns:a16="http://schemas.microsoft.com/office/drawing/2014/main" id="{00000000-0008-0000-0300-00007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32" y="500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49</xdr:col>
      <xdr:colOff>631219</xdr:colOff>
      <xdr:row>38</xdr:row>
      <xdr:rowOff>43086</xdr:rowOff>
    </xdr:from>
    <xdr:to>
      <xdr:col>49</xdr:col>
      <xdr:colOff>799779</xdr:colOff>
      <xdr:row>39</xdr:row>
      <xdr:rowOff>114572</xdr:rowOff>
    </xdr:to>
    <xdr:grpSp>
      <xdr:nvGrpSpPr>
        <xdr:cNvPr id="131" name="Group 19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GrpSpPr>
          <a:grpSpLocks/>
        </xdr:cNvGrpSpPr>
      </xdr:nvGrpSpPr>
      <xdr:grpSpPr bwMode="auto">
        <a:xfrm>
          <a:off x="19542007" y="6520086"/>
          <a:ext cx="168560" cy="232678"/>
          <a:chOff x="323" y="492"/>
          <a:chExt cx="18" cy="25"/>
        </a:xfrm>
      </xdr:grpSpPr>
      <xdr:sp macro="" textlink="">
        <xdr:nvSpPr>
          <xdr:cNvPr id="132" name="AutoShape 191">
            <a:extLst>
              <a:ext uri="{FF2B5EF4-FFF2-40B4-BE49-F238E27FC236}">
                <a16:creationId xmlns:a16="http://schemas.microsoft.com/office/drawing/2014/main" id="{00000000-0008-0000-0300-00008400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328" y="487"/>
            <a:ext cx="8" cy="18"/>
          </a:xfrm>
          <a:prstGeom prst="flowChartDelay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33" name="Group 192">
            <a:extLst>
              <a:ext uri="{FF2B5EF4-FFF2-40B4-BE49-F238E27FC236}">
                <a16:creationId xmlns:a16="http://schemas.microsoft.com/office/drawing/2014/main" id="{00000000-0008-0000-0300-000085000000}"/>
              </a:ext>
            </a:extLst>
          </xdr:cNvPr>
          <xdr:cNvGrpSpPr>
            <a:grpSpLocks/>
          </xdr:cNvGrpSpPr>
        </xdr:nvGrpSpPr>
        <xdr:grpSpPr bwMode="auto">
          <a:xfrm>
            <a:off x="323" y="507"/>
            <a:ext cx="18" cy="10"/>
            <a:chOff x="326" y="517"/>
            <a:chExt cx="18" cy="10"/>
          </a:xfrm>
        </xdr:grpSpPr>
        <xdr:sp macro="" textlink="">
          <xdr:nvSpPr>
            <xdr:cNvPr id="135" name="AutoShape 193">
              <a:extLst>
                <a:ext uri="{FF2B5EF4-FFF2-40B4-BE49-F238E27FC236}">
                  <a16:creationId xmlns:a16="http://schemas.microsoft.com/office/drawing/2014/main" id="{00000000-0008-0000-0300-00008700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335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6" name="AutoShape 194">
              <a:extLst>
                <a:ext uri="{FF2B5EF4-FFF2-40B4-BE49-F238E27FC236}">
                  <a16:creationId xmlns:a16="http://schemas.microsoft.com/office/drawing/2014/main" id="{00000000-0008-0000-0300-00008800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335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7" name="AutoShape 195">
              <a:extLst>
                <a:ext uri="{FF2B5EF4-FFF2-40B4-BE49-F238E27FC236}">
                  <a16:creationId xmlns:a16="http://schemas.microsoft.com/office/drawing/2014/main" id="{00000000-0008-0000-0300-000089000000}"/>
                </a:ext>
              </a:extLst>
            </xdr:cNvPr>
            <xdr:cNvSpPr>
              <a:spLocks noChangeArrowheads="1"/>
            </xdr:cNvSpPr>
          </xdr:nvSpPr>
          <xdr:spPr bwMode="auto">
            <a:xfrm rot="5400000">
              <a:off x="326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134" name="Line 196">
            <a:extLst>
              <a:ext uri="{FF2B5EF4-FFF2-40B4-BE49-F238E27FC236}">
                <a16:creationId xmlns:a16="http://schemas.microsoft.com/office/drawing/2014/main" id="{00000000-0008-0000-0300-00008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32" y="500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436966</xdr:colOff>
      <xdr:row>38</xdr:row>
      <xdr:rowOff>40900</xdr:rowOff>
    </xdr:from>
    <xdr:to>
      <xdr:col>52</xdr:col>
      <xdr:colOff>605526</xdr:colOff>
      <xdr:row>39</xdr:row>
      <xdr:rowOff>112386</xdr:rowOff>
    </xdr:to>
    <xdr:grpSp>
      <xdr:nvGrpSpPr>
        <xdr:cNvPr id="138" name="Group 190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GrpSpPr>
          <a:grpSpLocks/>
        </xdr:cNvGrpSpPr>
      </xdr:nvGrpSpPr>
      <xdr:grpSpPr bwMode="auto">
        <a:xfrm>
          <a:off x="20732543" y="6517900"/>
          <a:ext cx="168560" cy="232678"/>
          <a:chOff x="323" y="492"/>
          <a:chExt cx="18" cy="25"/>
        </a:xfrm>
      </xdr:grpSpPr>
      <xdr:sp macro="" textlink="">
        <xdr:nvSpPr>
          <xdr:cNvPr id="139" name="AutoShape 191">
            <a:extLst>
              <a:ext uri="{FF2B5EF4-FFF2-40B4-BE49-F238E27FC236}">
                <a16:creationId xmlns:a16="http://schemas.microsoft.com/office/drawing/2014/main" id="{00000000-0008-0000-0300-00008B00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328" y="487"/>
            <a:ext cx="8" cy="18"/>
          </a:xfrm>
          <a:prstGeom prst="flowChartDelay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40" name="Group 192">
            <a:extLst>
              <a:ext uri="{FF2B5EF4-FFF2-40B4-BE49-F238E27FC236}">
                <a16:creationId xmlns:a16="http://schemas.microsoft.com/office/drawing/2014/main" id="{00000000-0008-0000-0300-00008C000000}"/>
              </a:ext>
            </a:extLst>
          </xdr:cNvPr>
          <xdr:cNvGrpSpPr>
            <a:grpSpLocks/>
          </xdr:cNvGrpSpPr>
        </xdr:nvGrpSpPr>
        <xdr:grpSpPr bwMode="auto">
          <a:xfrm>
            <a:off x="323" y="507"/>
            <a:ext cx="18" cy="10"/>
            <a:chOff x="326" y="517"/>
            <a:chExt cx="18" cy="10"/>
          </a:xfrm>
        </xdr:grpSpPr>
        <xdr:sp macro="" textlink="">
          <xdr:nvSpPr>
            <xdr:cNvPr id="142" name="AutoShape 193">
              <a:extLst>
                <a:ext uri="{FF2B5EF4-FFF2-40B4-BE49-F238E27FC236}">
                  <a16:creationId xmlns:a16="http://schemas.microsoft.com/office/drawing/2014/main" id="{00000000-0008-0000-0300-00008E00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335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3" name="AutoShape 194">
              <a:extLst>
                <a:ext uri="{FF2B5EF4-FFF2-40B4-BE49-F238E27FC236}">
                  <a16:creationId xmlns:a16="http://schemas.microsoft.com/office/drawing/2014/main" id="{00000000-0008-0000-0300-00008F00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335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4" name="AutoShape 195">
              <a:extLst>
                <a:ext uri="{FF2B5EF4-FFF2-40B4-BE49-F238E27FC236}">
                  <a16:creationId xmlns:a16="http://schemas.microsoft.com/office/drawing/2014/main" id="{00000000-0008-0000-0300-000090000000}"/>
                </a:ext>
              </a:extLst>
            </xdr:cNvPr>
            <xdr:cNvSpPr>
              <a:spLocks noChangeArrowheads="1"/>
            </xdr:cNvSpPr>
          </xdr:nvSpPr>
          <xdr:spPr bwMode="auto">
            <a:xfrm rot="5400000">
              <a:off x="326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141" name="Line 196">
            <a:extLst>
              <a:ext uri="{FF2B5EF4-FFF2-40B4-BE49-F238E27FC236}">
                <a16:creationId xmlns:a16="http://schemas.microsoft.com/office/drawing/2014/main" id="{00000000-0008-0000-0300-00008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32" y="500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55</xdr:col>
      <xdr:colOff>340971</xdr:colOff>
      <xdr:row>38</xdr:row>
      <xdr:rowOff>43858</xdr:rowOff>
    </xdr:from>
    <xdr:to>
      <xdr:col>55</xdr:col>
      <xdr:colOff>509531</xdr:colOff>
      <xdr:row>39</xdr:row>
      <xdr:rowOff>115344</xdr:rowOff>
    </xdr:to>
    <xdr:grpSp>
      <xdr:nvGrpSpPr>
        <xdr:cNvPr id="145" name="Group 190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GrpSpPr>
          <a:grpSpLocks/>
        </xdr:cNvGrpSpPr>
      </xdr:nvGrpSpPr>
      <xdr:grpSpPr bwMode="auto">
        <a:xfrm>
          <a:off x="21830836" y="6520858"/>
          <a:ext cx="168560" cy="232678"/>
          <a:chOff x="323" y="492"/>
          <a:chExt cx="18" cy="25"/>
        </a:xfrm>
      </xdr:grpSpPr>
      <xdr:sp macro="" textlink="">
        <xdr:nvSpPr>
          <xdr:cNvPr id="146" name="AutoShape 191">
            <a:extLst>
              <a:ext uri="{FF2B5EF4-FFF2-40B4-BE49-F238E27FC236}">
                <a16:creationId xmlns:a16="http://schemas.microsoft.com/office/drawing/2014/main" id="{00000000-0008-0000-0300-00009200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328" y="487"/>
            <a:ext cx="8" cy="18"/>
          </a:xfrm>
          <a:prstGeom prst="flowChartDelay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47" name="Group 192">
            <a:extLst>
              <a:ext uri="{FF2B5EF4-FFF2-40B4-BE49-F238E27FC236}">
                <a16:creationId xmlns:a16="http://schemas.microsoft.com/office/drawing/2014/main" id="{00000000-0008-0000-0300-000093000000}"/>
              </a:ext>
            </a:extLst>
          </xdr:cNvPr>
          <xdr:cNvGrpSpPr>
            <a:grpSpLocks/>
          </xdr:cNvGrpSpPr>
        </xdr:nvGrpSpPr>
        <xdr:grpSpPr bwMode="auto">
          <a:xfrm>
            <a:off x="323" y="507"/>
            <a:ext cx="18" cy="10"/>
            <a:chOff x="326" y="517"/>
            <a:chExt cx="18" cy="10"/>
          </a:xfrm>
        </xdr:grpSpPr>
        <xdr:sp macro="" textlink="">
          <xdr:nvSpPr>
            <xdr:cNvPr id="149" name="AutoShape 193">
              <a:extLst>
                <a:ext uri="{FF2B5EF4-FFF2-40B4-BE49-F238E27FC236}">
                  <a16:creationId xmlns:a16="http://schemas.microsoft.com/office/drawing/2014/main" id="{00000000-0008-0000-0300-00009500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335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0" name="AutoShape 194">
              <a:extLst>
                <a:ext uri="{FF2B5EF4-FFF2-40B4-BE49-F238E27FC236}">
                  <a16:creationId xmlns:a16="http://schemas.microsoft.com/office/drawing/2014/main" id="{00000000-0008-0000-0300-00009600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335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1" name="AutoShape 195">
              <a:extLst>
                <a:ext uri="{FF2B5EF4-FFF2-40B4-BE49-F238E27FC236}">
                  <a16:creationId xmlns:a16="http://schemas.microsoft.com/office/drawing/2014/main" id="{00000000-0008-0000-0300-000097000000}"/>
                </a:ext>
              </a:extLst>
            </xdr:cNvPr>
            <xdr:cNvSpPr>
              <a:spLocks noChangeArrowheads="1"/>
            </xdr:cNvSpPr>
          </xdr:nvSpPr>
          <xdr:spPr bwMode="auto">
            <a:xfrm rot="5400000">
              <a:off x="326" y="517"/>
              <a:ext cx="10" cy="9"/>
            </a:xfrm>
            <a:prstGeom prst="triangle">
              <a:avLst>
                <a:gd name="adj" fmla="val 50000"/>
              </a:avLst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148" name="Line 196">
            <a:extLst>
              <a:ext uri="{FF2B5EF4-FFF2-40B4-BE49-F238E27FC236}">
                <a16:creationId xmlns:a16="http://schemas.microsoft.com/office/drawing/2014/main" id="{00000000-0008-0000-0300-00009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32" y="500"/>
            <a:ext cx="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63</xdr:col>
      <xdr:colOff>241174</xdr:colOff>
      <xdr:row>38</xdr:row>
      <xdr:rowOff>40749</xdr:rowOff>
    </xdr:from>
    <xdr:to>
      <xdr:col>64</xdr:col>
      <xdr:colOff>28704</xdr:colOff>
      <xdr:row>38</xdr:row>
      <xdr:rowOff>141074</xdr:rowOff>
    </xdr:to>
    <xdr:grpSp>
      <xdr:nvGrpSpPr>
        <xdr:cNvPr id="163" name="Group 69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GrpSpPr>
          <a:grpSpLocks/>
        </xdr:cNvGrpSpPr>
      </xdr:nvGrpSpPr>
      <xdr:grpSpPr bwMode="auto">
        <a:xfrm>
          <a:off x="24207539" y="6517749"/>
          <a:ext cx="461607" cy="100325"/>
          <a:chOff x="346" y="726"/>
          <a:chExt cx="54" cy="13"/>
        </a:xfrm>
      </xdr:grpSpPr>
      <xdr:sp macro="" textlink="">
        <xdr:nvSpPr>
          <xdr:cNvPr id="164" name="Line 70">
            <a:extLst>
              <a:ext uri="{FF2B5EF4-FFF2-40B4-BE49-F238E27FC236}">
                <a16:creationId xmlns:a16="http://schemas.microsoft.com/office/drawing/2014/main" id="{00000000-0008-0000-0300-0000A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3" y="726"/>
            <a:ext cx="14" cy="13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Line 71">
            <a:extLst>
              <a:ext uri="{FF2B5EF4-FFF2-40B4-BE49-F238E27FC236}">
                <a16:creationId xmlns:a16="http://schemas.microsoft.com/office/drawing/2014/main" id="{00000000-0008-0000-0300-0000A5000000}"/>
              </a:ext>
            </a:extLst>
          </xdr:cNvPr>
          <xdr:cNvSpPr>
            <a:spLocks noChangeShapeType="1"/>
          </xdr:cNvSpPr>
        </xdr:nvSpPr>
        <xdr:spPr bwMode="auto">
          <a:xfrm>
            <a:off x="382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72">
            <a:extLst>
              <a:ext uri="{FF2B5EF4-FFF2-40B4-BE49-F238E27FC236}">
                <a16:creationId xmlns:a16="http://schemas.microsoft.com/office/drawing/2014/main" id="{00000000-0008-0000-0300-0000A6000000}"/>
              </a:ext>
            </a:extLst>
          </xdr:cNvPr>
          <xdr:cNvSpPr>
            <a:spLocks noChangeShapeType="1"/>
          </xdr:cNvSpPr>
        </xdr:nvSpPr>
        <xdr:spPr bwMode="auto">
          <a:xfrm>
            <a:off x="346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82</xdr:col>
      <xdr:colOff>228819</xdr:colOff>
      <xdr:row>38</xdr:row>
      <xdr:rowOff>41227</xdr:rowOff>
    </xdr:from>
    <xdr:to>
      <xdr:col>83</xdr:col>
      <xdr:colOff>132702</xdr:colOff>
      <xdr:row>38</xdr:row>
      <xdr:rowOff>158181</xdr:rowOff>
    </xdr:to>
    <xdr:grpSp>
      <xdr:nvGrpSpPr>
        <xdr:cNvPr id="189" name="Group 37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GrpSpPr>
          <a:grpSpLocks/>
        </xdr:cNvGrpSpPr>
      </xdr:nvGrpSpPr>
      <xdr:grpSpPr bwMode="auto">
        <a:xfrm>
          <a:off x="32100934" y="6518227"/>
          <a:ext cx="665883" cy="116954"/>
          <a:chOff x="327" y="742"/>
          <a:chExt cx="43" cy="11"/>
        </a:xfrm>
      </xdr:grpSpPr>
      <xdr:sp macro="" textlink="">
        <xdr:nvSpPr>
          <xdr:cNvPr id="190" name="Line 38">
            <a:extLst>
              <a:ext uri="{FF2B5EF4-FFF2-40B4-BE49-F238E27FC236}">
                <a16:creationId xmlns:a16="http://schemas.microsoft.com/office/drawing/2014/main" id="{00000000-0008-0000-0300-0000BE000000}"/>
              </a:ext>
            </a:extLst>
          </xdr:cNvPr>
          <xdr:cNvSpPr>
            <a:spLocks noChangeShapeType="1"/>
          </xdr:cNvSpPr>
        </xdr:nvSpPr>
        <xdr:spPr bwMode="auto">
          <a:xfrm>
            <a:off x="327" y="747"/>
            <a:ext cx="4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" name="Rectangle 39">
            <a:extLst>
              <a:ext uri="{FF2B5EF4-FFF2-40B4-BE49-F238E27FC236}">
                <a16:creationId xmlns:a16="http://schemas.microsoft.com/office/drawing/2014/main" id="{00000000-0008-0000-0300-0000BF000000}"/>
              </a:ext>
            </a:extLst>
          </xdr:cNvPr>
          <xdr:cNvSpPr>
            <a:spLocks noChangeArrowheads="1"/>
          </xdr:cNvSpPr>
        </xdr:nvSpPr>
        <xdr:spPr bwMode="auto">
          <a:xfrm>
            <a:off x="338" y="742"/>
            <a:ext cx="23" cy="11"/>
          </a:xfrm>
          <a:prstGeom prst="rect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79</xdr:col>
      <xdr:colOff>290361</xdr:colOff>
      <xdr:row>0</xdr:row>
      <xdr:rowOff>-5887508</xdr:rowOff>
    </xdr:from>
    <xdr:to>
      <xdr:col>82</xdr:col>
      <xdr:colOff>562160</xdr:colOff>
      <xdr:row>0</xdr:row>
      <xdr:rowOff>-5887508</xdr:rowOff>
    </xdr:to>
    <xdr:sp macro="" textlink="">
      <xdr:nvSpPr>
        <xdr:cNvPr id="193" name="Line 38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>
          <a:spLocks noChangeShapeType="1"/>
        </xdr:cNvSpPr>
      </xdr:nvSpPr>
      <xdr:spPr bwMode="auto">
        <a:xfrm>
          <a:off x="27970011" y="-5887508"/>
          <a:ext cx="193867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370102</xdr:colOff>
      <xdr:row>38</xdr:row>
      <xdr:rowOff>42594</xdr:rowOff>
    </xdr:from>
    <xdr:to>
      <xdr:col>6</xdr:col>
      <xdr:colOff>479773</xdr:colOff>
      <xdr:row>39</xdr:row>
      <xdr:rowOff>149556</xdr:rowOff>
    </xdr:to>
    <xdr:grpSp>
      <xdr:nvGrpSpPr>
        <xdr:cNvPr id="28" name="Группа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pSpPr/>
      </xdr:nvGrpSpPr>
      <xdr:grpSpPr>
        <a:xfrm>
          <a:off x="2949179" y="6519594"/>
          <a:ext cx="109671" cy="268154"/>
          <a:chOff x="3480608" y="8041246"/>
          <a:chExt cx="109671" cy="267947"/>
        </a:xfrm>
      </xdr:grpSpPr>
      <xdr:cxnSp macro="">
        <xdr:nvCxnSpPr>
          <xdr:cNvPr id="5" name="Прямая соединительная линия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 flipH="1" flipV="1">
            <a:off x="3480802" y="8167621"/>
            <a:ext cx="51784" cy="117116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" name="Прямая соединительная линия 108">
            <a:extLst>
              <a:ext uri="{FF2B5EF4-FFF2-40B4-BE49-F238E27FC236}">
                <a16:creationId xmlns:a16="http://schemas.microsoft.com/office/drawing/2014/main" id="{00000000-0008-0000-0300-00006D000000}"/>
              </a:ext>
            </a:extLst>
          </xdr:cNvPr>
          <xdr:cNvCxnSpPr/>
        </xdr:nvCxnSpPr>
        <xdr:spPr>
          <a:xfrm flipH="1">
            <a:off x="3533025" y="8165239"/>
            <a:ext cx="54090" cy="11603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" name="Прямая соединительная линия 114">
            <a:extLst>
              <a:ext uri="{FF2B5EF4-FFF2-40B4-BE49-F238E27FC236}">
                <a16:creationId xmlns:a16="http://schemas.microsoft.com/office/drawing/2014/main" id="{00000000-0008-0000-0300-000073000000}"/>
              </a:ext>
            </a:extLst>
          </xdr:cNvPr>
          <xdr:cNvCxnSpPr/>
        </xdr:nvCxnSpPr>
        <xdr:spPr>
          <a:xfrm>
            <a:off x="3590279" y="8046613"/>
            <a:ext cx="0" cy="119139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" name="Прямая соединительная линия 117">
            <a:extLst>
              <a:ext uri="{FF2B5EF4-FFF2-40B4-BE49-F238E27FC236}">
                <a16:creationId xmlns:a16="http://schemas.microsoft.com/office/drawing/2014/main" id="{00000000-0008-0000-0300-000076000000}"/>
              </a:ext>
            </a:extLst>
          </xdr:cNvPr>
          <xdr:cNvCxnSpPr/>
        </xdr:nvCxnSpPr>
        <xdr:spPr>
          <a:xfrm>
            <a:off x="3480608" y="8041246"/>
            <a:ext cx="0" cy="127256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9" name="Овал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/>
        </xdr:nvSpPr>
        <xdr:spPr>
          <a:xfrm>
            <a:off x="3508990" y="8263474"/>
            <a:ext cx="45719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12</xdr:col>
      <xdr:colOff>146934</xdr:colOff>
      <xdr:row>38</xdr:row>
      <xdr:rowOff>42627</xdr:rowOff>
    </xdr:from>
    <xdr:to>
      <xdr:col>13</xdr:col>
      <xdr:colOff>75455</xdr:colOff>
      <xdr:row>39</xdr:row>
      <xdr:rowOff>145497</xdr:rowOff>
    </xdr:to>
    <xdr:grpSp>
      <xdr:nvGrpSpPr>
        <xdr:cNvPr id="67" name="Группа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pSpPr/>
      </xdr:nvGrpSpPr>
      <xdr:grpSpPr>
        <a:xfrm>
          <a:off x="4931415" y="6519627"/>
          <a:ext cx="558636" cy="264062"/>
          <a:chOff x="4229301" y="8107680"/>
          <a:chExt cx="567207" cy="266700"/>
        </a:xfrm>
      </xdr:grpSpPr>
      <xdr:grpSp>
        <xdr:nvGrpSpPr>
          <xdr:cNvPr id="152" name="Group 37">
            <a:extLst>
              <a:ext uri="{FF2B5EF4-FFF2-40B4-BE49-F238E27FC236}">
                <a16:creationId xmlns:a16="http://schemas.microsoft.com/office/drawing/2014/main" id="{00000000-0008-0000-0300-000098000000}"/>
              </a:ext>
            </a:extLst>
          </xdr:cNvPr>
          <xdr:cNvGrpSpPr>
            <a:grpSpLocks/>
          </xdr:cNvGrpSpPr>
        </xdr:nvGrpSpPr>
        <xdr:grpSpPr bwMode="auto">
          <a:xfrm>
            <a:off x="4229301" y="8174856"/>
            <a:ext cx="567207" cy="106589"/>
            <a:chOff x="327" y="742"/>
            <a:chExt cx="43" cy="11"/>
          </a:xfrm>
        </xdr:grpSpPr>
        <xdr:sp macro="" textlink="">
          <xdr:nvSpPr>
            <xdr:cNvPr id="153" name="Line 38">
              <a:extLst>
                <a:ext uri="{FF2B5EF4-FFF2-40B4-BE49-F238E27FC236}">
                  <a16:creationId xmlns:a16="http://schemas.microsoft.com/office/drawing/2014/main" id="{00000000-0008-0000-0300-00009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7" y="747"/>
              <a:ext cx="4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4" name="Rectangle 39">
              <a:extLst>
                <a:ext uri="{FF2B5EF4-FFF2-40B4-BE49-F238E27FC236}">
                  <a16:creationId xmlns:a16="http://schemas.microsoft.com/office/drawing/2014/main" id="{00000000-0008-0000-0300-00009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" y="742"/>
              <a:ext cx="23" cy="11"/>
            </a:xfrm>
            <a:prstGeom prst="rect">
              <a:avLst/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cxnSp macro="">
        <xdr:nvCxnSpPr>
          <xdr:cNvPr id="62" name="Прямая соединительная линия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CxnSpPr/>
        </xdr:nvCxnSpPr>
        <xdr:spPr>
          <a:xfrm flipH="1">
            <a:off x="4396740" y="8107680"/>
            <a:ext cx="246185" cy="266700"/>
          </a:xfrm>
          <a:prstGeom prst="line">
            <a:avLst/>
          </a:prstGeom>
          <a:ln w="952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Прямая соединительная линия 154">
            <a:extLst>
              <a:ext uri="{FF2B5EF4-FFF2-40B4-BE49-F238E27FC236}">
                <a16:creationId xmlns:a16="http://schemas.microsoft.com/office/drawing/2014/main" id="{00000000-0008-0000-0300-00009B000000}"/>
              </a:ext>
            </a:extLst>
          </xdr:cNvPr>
          <xdr:cNvCxnSpPr/>
        </xdr:nvCxnSpPr>
        <xdr:spPr>
          <a:xfrm flipH="1">
            <a:off x="4301490" y="8370570"/>
            <a:ext cx="99060" cy="0"/>
          </a:xfrm>
          <a:prstGeom prst="line">
            <a:avLst/>
          </a:prstGeom>
          <a:ln w="952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146701</xdr:colOff>
      <xdr:row>38</xdr:row>
      <xdr:rowOff>40247</xdr:rowOff>
    </xdr:from>
    <xdr:to>
      <xdr:col>16</xdr:col>
      <xdr:colOff>75222</xdr:colOff>
      <xdr:row>39</xdr:row>
      <xdr:rowOff>143117</xdr:rowOff>
    </xdr:to>
    <xdr:grpSp>
      <xdr:nvGrpSpPr>
        <xdr:cNvPr id="107" name="Группа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GrpSpPr/>
      </xdr:nvGrpSpPr>
      <xdr:grpSpPr>
        <a:xfrm>
          <a:off x="6030220" y="6517247"/>
          <a:ext cx="558637" cy="264062"/>
          <a:chOff x="4229301" y="8107680"/>
          <a:chExt cx="567207" cy="266700"/>
        </a:xfrm>
      </xdr:grpSpPr>
      <xdr:grpSp>
        <xdr:nvGrpSpPr>
          <xdr:cNvPr id="108" name="Group 37">
            <a:extLst>
              <a:ext uri="{FF2B5EF4-FFF2-40B4-BE49-F238E27FC236}">
                <a16:creationId xmlns:a16="http://schemas.microsoft.com/office/drawing/2014/main" id="{00000000-0008-0000-0300-00006C000000}"/>
              </a:ext>
            </a:extLst>
          </xdr:cNvPr>
          <xdr:cNvGrpSpPr>
            <a:grpSpLocks/>
          </xdr:cNvGrpSpPr>
        </xdr:nvGrpSpPr>
        <xdr:grpSpPr bwMode="auto">
          <a:xfrm>
            <a:off x="4229301" y="8174856"/>
            <a:ext cx="567207" cy="106589"/>
            <a:chOff x="327" y="742"/>
            <a:chExt cx="43" cy="11"/>
          </a:xfrm>
        </xdr:grpSpPr>
        <xdr:sp macro="" textlink="">
          <xdr:nvSpPr>
            <xdr:cNvPr id="112" name="Line 38">
              <a:extLst>
                <a:ext uri="{FF2B5EF4-FFF2-40B4-BE49-F238E27FC236}">
                  <a16:creationId xmlns:a16="http://schemas.microsoft.com/office/drawing/2014/main" id="{00000000-0008-0000-03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7" y="747"/>
              <a:ext cx="4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Rectangle 39">
              <a:extLst>
                <a:ext uri="{FF2B5EF4-FFF2-40B4-BE49-F238E27FC236}">
                  <a16:creationId xmlns:a16="http://schemas.microsoft.com/office/drawing/2014/main" id="{00000000-0008-0000-0300-00007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" y="742"/>
              <a:ext cx="23" cy="11"/>
            </a:xfrm>
            <a:prstGeom prst="rect">
              <a:avLst/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cxnSp macro="">
        <xdr:nvCxnSpPr>
          <xdr:cNvPr id="110" name="Прямая соединительная линия 109">
            <a:extLst>
              <a:ext uri="{FF2B5EF4-FFF2-40B4-BE49-F238E27FC236}">
                <a16:creationId xmlns:a16="http://schemas.microsoft.com/office/drawing/2014/main" id="{00000000-0008-0000-0300-00006E000000}"/>
              </a:ext>
            </a:extLst>
          </xdr:cNvPr>
          <xdr:cNvCxnSpPr/>
        </xdr:nvCxnSpPr>
        <xdr:spPr>
          <a:xfrm flipH="1">
            <a:off x="4396740" y="8107680"/>
            <a:ext cx="246185" cy="266700"/>
          </a:xfrm>
          <a:prstGeom prst="line">
            <a:avLst/>
          </a:prstGeom>
          <a:ln w="952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" name="Прямая соединительная линия 110">
            <a:extLst>
              <a:ext uri="{FF2B5EF4-FFF2-40B4-BE49-F238E27FC236}">
                <a16:creationId xmlns:a16="http://schemas.microsoft.com/office/drawing/2014/main" id="{00000000-0008-0000-0300-00006F000000}"/>
              </a:ext>
            </a:extLst>
          </xdr:cNvPr>
          <xdr:cNvCxnSpPr/>
        </xdr:nvCxnSpPr>
        <xdr:spPr>
          <a:xfrm flipH="1">
            <a:off x="4301490" y="8370570"/>
            <a:ext cx="99060" cy="0"/>
          </a:xfrm>
          <a:prstGeom prst="line">
            <a:avLst/>
          </a:prstGeom>
          <a:ln w="952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370914</xdr:colOff>
      <xdr:row>38</xdr:row>
      <xdr:rowOff>40331</xdr:rowOff>
    </xdr:from>
    <xdr:to>
      <xdr:col>9</xdr:col>
      <xdr:colOff>480585</xdr:colOff>
      <xdr:row>39</xdr:row>
      <xdr:rowOff>147293</xdr:rowOff>
    </xdr:to>
    <xdr:grpSp>
      <xdr:nvGrpSpPr>
        <xdr:cNvPr id="114" name="Группа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GrpSpPr/>
      </xdr:nvGrpSpPr>
      <xdr:grpSpPr>
        <a:xfrm>
          <a:off x="4049029" y="6517331"/>
          <a:ext cx="109671" cy="268154"/>
          <a:chOff x="3480608" y="8041246"/>
          <a:chExt cx="109671" cy="267947"/>
        </a:xfrm>
      </xdr:grpSpPr>
      <xdr:cxnSp macro="">
        <xdr:nvCxnSpPr>
          <xdr:cNvPr id="116" name="Прямая соединительная линия 115">
            <a:extLst>
              <a:ext uri="{FF2B5EF4-FFF2-40B4-BE49-F238E27FC236}">
                <a16:creationId xmlns:a16="http://schemas.microsoft.com/office/drawing/2014/main" id="{00000000-0008-0000-0300-000074000000}"/>
              </a:ext>
            </a:extLst>
          </xdr:cNvPr>
          <xdr:cNvCxnSpPr/>
        </xdr:nvCxnSpPr>
        <xdr:spPr>
          <a:xfrm flipH="1" flipV="1">
            <a:off x="3480802" y="8167621"/>
            <a:ext cx="51784" cy="117116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Прямая соединительная линия 116">
            <a:extLst>
              <a:ext uri="{FF2B5EF4-FFF2-40B4-BE49-F238E27FC236}">
                <a16:creationId xmlns:a16="http://schemas.microsoft.com/office/drawing/2014/main" id="{00000000-0008-0000-0300-000075000000}"/>
              </a:ext>
            </a:extLst>
          </xdr:cNvPr>
          <xdr:cNvCxnSpPr/>
        </xdr:nvCxnSpPr>
        <xdr:spPr>
          <a:xfrm flipH="1">
            <a:off x="3533025" y="8165239"/>
            <a:ext cx="54090" cy="11603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9" name="Прямая соединительная линия 118">
            <a:extLst>
              <a:ext uri="{FF2B5EF4-FFF2-40B4-BE49-F238E27FC236}">
                <a16:creationId xmlns:a16="http://schemas.microsoft.com/office/drawing/2014/main" id="{00000000-0008-0000-0300-000077000000}"/>
              </a:ext>
            </a:extLst>
          </xdr:cNvPr>
          <xdr:cNvCxnSpPr/>
        </xdr:nvCxnSpPr>
        <xdr:spPr>
          <a:xfrm>
            <a:off x="3590279" y="8046613"/>
            <a:ext cx="0" cy="119139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0" name="Прямая соединительная линия 119">
            <a:extLst>
              <a:ext uri="{FF2B5EF4-FFF2-40B4-BE49-F238E27FC236}">
                <a16:creationId xmlns:a16="http://schemas.microsoft.com/office/drawing/2014/main" id="{00000000-0008-0000-0300-000078000000}"/>
              </a:ext>
            </a:extLst>
          </xdr:cNvPr>
          <xdr:cNvCxnSpPr/>
        </xdr:nvCxnSpPr>
        <xdr:spPr>
          <a:xfrm>
            <a:off x="3480608" y="8041246"/>
            <a:ext cx="0" cy="127256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1" name="Овал 120">
            <a:extLst>
              <a:ext uri="{FF2B5EF4-FFF2-40B4-BE49-F238E27FC236}">
                <a16:creationId xmlns:a16="http://schemas.microsoft.com/office/drawing/2014/main" id="{00000000-0008-0000-0300-000079000000}"/>
              </a:ext>
            </a:extLst>
          </xdr:cNvPr>
          <xdr:cNvSpPr/>
        </xdr:nvSpPr>
        <xdr:spPr>
          <a:xfrm>
            <a:off x="3508990" y="8263474"/>
            <a:ext cx="45719" cy="45719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79</xdr:col>
      <xdr:colOff>628583</xdr:colOff>
      <xdr:row>38</xdr:row>
      <xdr:rowOff>43447</xdr:rowOff>
    </xdr:from>
    <xdr:to>
      <xdr:col>80</xdr:col>
      <xdr:colOff>128779</xdr:colOff>
      <xdr:row>38</xdr:row>
      <xdr:rowOff>161849</xdr:rowOff>
    </xdr:to>
    <xdr:grpSp>
      <xdr:nvGrpSpPr>
        <xdr:cNvPr id="158" name="Group 37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GrpSpPr>
          <a:grpSpLocks/>
        </xdr:cNvGrpSpPr>
      </xdr:nvGrpSpPr>
      <xdr:grpSpPr bwMode="auto">
        <a:xfrm>
          <a:off x="30720256" y="6520447"/>
          <a:ext cx="811715" cy="118402"/>
          <a:chOff x="327" y="742"/>
          <a:chExt cx="43" cy="11"/>
        </a:xfrm>
      </xdr:grpSpPr>
      <xdr:sp macro="" textlink="">
        <xdr:nvSpPr>
          <xdr:cNvPr id="167" name="Line 38">
            <a:extLst>
              <a:ext uri="{FF2B5EF4-FFF2-40B4-BE49-F238E27FC236}">
                <a16:creationId xmlns:a16="http://schemas.microsoft.com/office/drawing/2014/main" id="{00000000-0008-0000-0300-0000A7000000}"/>
              </a:ext>
            </a:extLst>
          </xdr:cNvPr>
          <xdr:cNvSpPr>
            <a:spLocks noChangeShapeType="1"/>
          </xdr:cNvSpPr>
        </xdr:nvSpPr>
        <xdr:spPr bwMode="auto">
          <a:xfrm>
            <a:off x="327" y="747"/>
            <a:ext cx="4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Rectangle 39">
            <a:extLst>
              <a:ext uri="{FF2B5EF4-FFF2-40B4-BE49-F238E27FC236}">
                <a16:creationId xmlns:a16="http://schemas.microsoft.com/office/drawing/2014/main" id="{00000000-0008-0000-0300-0000A8000000}"/>
              </a:ext>
            </a:extLst>
          </xdr:cNvPr>
          <xdr:cNvSpPr>
            <a:spLocks noChangeArrowheads="1"/>
          </xdr:cNvSpPr>
        </xdr:nvSpPr>
        <xdr:spPr bwMode="auto">
          <a:xfrm>
            <a:off x="338" y="742"/>
            <a:ext cx="23" cy="11"/>
          </a:xfrm>
          <a:prstGeom prst="rect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66</xdr:col>
      <xdr:colOff>191865</xdr:colOff>
      <xdr:row>38</xdr:row>
      <xdr:rowOff>40833</xdr:rowOff>
    </xdr:from>
    <xdr:to>
      <xdr:col>67</xdr:col>
      <xdr:colOff>26842</xdr:colOff>
      <xdr:row>38</xdr:row>
      <xdr:rowOff>141158</xdr:rowOff>
    </xdr:to>
    <xdr:grpSp>
      <xdr:nvGrpSpPr>
        <xdr:cNvPr id="169" name="Group 69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GrpSpPr>
          <a:grpSpLocks/>
        </xdr:cNvGrpSpPr>
      </xdr:nvGrpSpPr>
      <xdr:grpSpPr bwMode="auto">
        <a:xfrm>
          <a:off x="25301230" y="6517833"/>
          <a:ext cx="465093" cy="100325"/>
          <a:chOff x="346" y="726"/>
          <a:chExt cx="54" cy="13"/>
        </a:xfrm>
      </xdr:grpSpPr>
      <xdr:sp macro="" textlink="">
        <xdr:nvSpPr>
          <xdr:cNvPr id="170" name="Line 70">
            <a:extLst>
              <a:ext uri="{FF2B5EF4-FFF2-40B4-BE49-F238E27FC236}">
                <a16:creationId xmlns:a16="http://schemas.microsoft.com/office/drawing/2014/main" id="{00000000-0008-0000-0300-0000A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3" y="726"/>
            <a:ext cx="14" cy="13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" name="Line 71">
            <a:extLst>
              <a:ext uri="{FF2B5EF4-FFF2-40B4-BE49-F238E27FC236}">
                <a16:creationId xmlns:a16="http://schemas.microsoft.com/office/drawing/2014/main" id="{00000000-0008-0000-0300-0000AB000000}"/>
              </a:ext>
            </a:extLst>
          </xdr:cNvPr>
          <xdr:cNvSpPr>
            <a:spLocks noChangeShapeType="1"/>
          </xdr:cNvSpPr>
        </xdr:nvSpPr>
        <xdr:spPr bwMode="auto">
          <a:xfrm>
            <a:off x="382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72">
            <a:extLst>
              <a:ext uri="{FF2B5EF4-FFF2-40B4-BE49-F238E27FC236}">
                <a16:creationId xmlns:a16="http://schemas.microsoft.com/office/drawing/2014/main" id="{00000000-0008-0000-0300-0000AC000000}"/>
              </a:ext>
            </a:extLst>
          </xdr:cNvPr>
          <xdr:cNvSpPr>
            <a:spLocks noChangeShapeType="1"/>
          </xdr:cNvSpPr>
        </xdr:nvSpPr>
        <xdr:spPr bwMode="auto">
          <a:xfrm>
            <a:off x="346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76</xdr:col>
      <xdr:colOff>657766</xdr:colOff>
      <xdr:row>38</xdr:row>
      <xdr:rowOff>43523</xdr:rowOff>
    </xdr:from>
    <xdr:to>
      <xdr:col>77</xdr:col>
      <xdr:colOff>34220</xdr:colOff>
      <xdr:row>38</xdr:row>
      <xdr:rowOff>143848</xdr:rowOff>
    </xdr:to>
    <xdr:grpSp>
      <xdr:nvGrpSpPr>
        <xdr:cNvPr id="122" name="Group 69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GrpSpPr>
          <a:grpSpLocks/>
        </xdr:cNvGrpSpPr>
      </xdr:nvGrpSpPr>
      <xdr:grpSpPr bwMode="auto">
        <a:xfrm>
          <a:off x="29196131" y="6520523"/>
          <a:ext cx="460839" cy="100325"/>
          <a:chOff x="346" y="726"/>
          <a:chExt cx="54" cy="13"/>
        </a:xfrm>
      </xdr:grpSpPr>
      <xdr:sp macro="" textlink="">
        <xdr:nvSpPr>
          <xdr:cNvPr id="123" name="Line 70">
            <a:extLst>
              <a:ext uri="{FF2B5EF4-FFF2-40B4-BE49-F238E27FC236}">
                <a16:creationId xmlns:a16="http://schemas.microsoft.com/office/drawing/2014/main" id="{00000000-0008-0000-0300-00007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3" y="726"/>
            <a:ext cx="14" cy="13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6" name="Line 71">
            <a:extLst>
              <a:ext uri="{FF2B5EF4-FFF2-40B4-BE49-F238E27FC236}">
                <a16:creationId xmlns:a16="http://schemas.microsoft.com/office/drawing/2014/main" id="{00000000-0008-0000-0300-00009C000000}"/>
              </a:ext>
            </a:extLst>
          </xdr:cNvPr>
          <xdr:cNvSpPr>
            <a:spLocks noChangeShapeType="1"/>
          </xdr:cNvSpPr>
        </xdr:nvSpPr>
        <xdr:spPr bwMode="auto">
          <a:xfrm>
            <a:off x="382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Line 72">
            <a:extLst>
              <a:ext uri="{FF2B5EF4-FFF2-40B4-BE49-F238E27FC236}">
                <a16:creationId xmlns:a16="http://schemas.microsoft.com/office/drawing/2014/main" id="{00000000-0008-0000-0300-00009D000000}"/>
              </a:ext>
            </a:extLst>
          </xdr:cNvPr>
          <xdr:cNvSpPr>
            <a:spLocks noChangeShapeType="1"/>
          </xdr:cNvSpPr>
        </xdr:nvSpPr>
        <xdr:spPr bwMode="auto">
          <a:xfrm>
            <a:off x="346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85</xdr:col>
      <xdr:colOff>220295</xdr:colOff>
      <xdr:row>38</xdr:row>
      <xdr:rowOff>41848</xdr:rowOff>
    </xdr:from>
    <xdr:to>
      <xdr:col>86</xdr:col>
      <xdr:colOff>151392</xdr:colOff>
      <xdr:row>38</xdr:row>
      <xdr:rowOff>160232</xdr:rowOff>
    </xdr:to>
    <xdr:grpSp>
      <xdr:nvGrpSpPr>
        <xdr:cNvPr id="175" name="Group 37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GrpSpPr>
          <a:grpSpLocks/>
        </xdr:cNvGrpSpPr>
      </xdr:nvGrpSpPr>
      <xdr:grpSpPr bwMode="auto">
        <a:xfrm>
          <a:off x="33323333" y="6518848"/>
          <a:ext cx="700424" cy="118384"/>
          <a:chOff x="327" y="742"/>
          <a:chExt cx="43" cy="11"/>
        </a:xfrm>
      </xdr:grpSpPr>
      <xdr:sp macro="" textlink="">
        <xdr:nvSpPr>
          <xdr:cNvPr id="176" name="Line 38">
            <a:extLst>
              <a:ext uri="{FF2B5EF4-FFF2-40B4-BE49-F238E27FC236}">
                <a16:creationId xmlns:a16="http://schemas.microsoft.com/office/drawing/2014/main" id="{00000000-0008-0000-0300-0000B0000000}"/>
              </a:ext>
            </a:extLst>
          </xdr:cNvPr>
          <xdr:cNvSpPr>
            <a:spLocks noChangeShapeType="1"/>
          </xdr:cNvSpPr>
        </xdr:nvSpPr>
        <xdr:spPr bwMode="auto">
          <a:xfrm>
            <a:off x="327" y="747"/>
            <a:ext cx="4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Rectangle 39">
            <a:extLst>
              <a:ext uri="{FF2B5EF4-FFF2-40B4-BE49-F238E27FC236}">
                <a16:creationId xmlns:a16="http://schemas.microsoft.com/office/drawing/2014/main" id="{00000000-0008-0000-0300-0000B1000000}"/>
              </a:ext>
            </a:extLst>
          </xdr:cNvPr>
          <xdr:cNvSpPr>
            <a:spLocks noChangeArrowheads="1"/>
          </xdr:cNvSpPr>
        </xdr:nvSpPr>
        <xdr:spPr bwMode="auto">
          <a:xfrm>
            <a:off x="338" y="742"/>
            <a:ext cx="23" cy="11"/>
          </a:xfrm>
          <a:prstGeom prst="rect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60</xdr:col>
      <xdr:colOff>191241</xdr:colOff>
      <xdr:row>38</xdr:row>
      <xdr:rowOff>43603</xdr:rowOff>
    </xdr:from>
    <xdr:to>
      <xdr:col>61</xdr:col>
      <xdr:colOff>29881</xdr:colOff>
      <xdr:row>38</xdr:row>
      <xdr:rowOff>143928</xdr:rowOff>
    </xdr:to>
    <xdr:grpSp>
      <xdr:nvGrpSpPr>
        <xdr:cNvPr id="178" name="Group 69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GrpSpPr>
          <a:grpSpLocks/>
        </xdr:cNvGrpSpPr>
      </xdr:nvGrpSpPr>
      <xdr:grpSpPr bwMode="auto">
        <a:xfrm>
          <a:off x="23058568" y="6520603"/>
          <a:ext cx="468755" cy="100325"/>
          <a:chOff x="346" y="726"/>
          <a:chExt cx="54" cy="13"/>
        </a:xfrm>
      </xdr:grpSpPr>
      <xdr:sp macro="" textlink="">
        <xdr:nvSpPr>
          <xdr:cNvPr id="181" name="Line 70">
            <a:extLst>
              <a:ext uri="{FF2B5EF4-FFF2-40B4-BE49-F238E27FC236}">
                <a16:creationId xmlns:a16="http://schemas.microsoft.com/office/drawing/2014/main" id="{00000000-0008-0000-0300-0000B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3" y="726"/>
            <a:ext cx="14" cy="13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2" name="Line 71">
            <a:extLst>
              <a:ext uri="{FF2B5EF4-FFF2-40B4-BE49-F238E27FC236}">
                <a16:creationId xmlns:a16="http://schemas.microsoft.com/office/drawing/2014/main" id="{00000000-0008-0000-0300-0000B6000000}"/>
              </a:ext>
            </a:extLst>
          </xdr:cNvPr>
          <xdr:cNvSpPr>
            <a:spLocks noChangeShapeType="1"/>
          </xdr:cNvSpPr>
        </xdr:nvSpPr>
        <xdr:spPr bwMode="auto">
          <a:xfrm>
            <a:off x="382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3" name="Line 72">
            <a:extLst>
              <a:ext uri="{FF2B5EF4-FFF2-40B4-BE49-F238E27FC236}">
                <a16:creationId xmlns:a16="http://schemas.microsoft.com/office/drawing/2014/main" id="{00000000-0008-0000-0300-0000B7000000}"/>
              </a:ext>
            </a:extLst>
          </xdr:cNvPr>
          <xdr:cNvSpPr>
            <a:spLocks noChangeShapeType="1"/>
          </xdr:cNvSpPr>
        </xdr:nvSpPr>
        <xdr:spPr bwMode="auto">
          <a:xfrm>
            <a:off x="346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149007</xdr:colOff>
      <xdr:row>38</xdr:row>
      <xdr:rowOff>43559</xdr:rowOff>
    </xdr:from>
    <xdr:to>
      <xdr:col>21</xdr:col>
      <xdr:colOff>75306</xdr:colOff>
      <xdr:row>39</xdr:row>
      <xdr:rowOff>146429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1DC3B36E-D83D-45C4-9666-A28E2036A5BC}"/>
            </a:ext>
          </a:extLst>
        </xdr:cNvPr>
        <xdr:cNvGrpSpPr/>
      </xdr:nvGrpSpPr>
      <xdr:grpSpPr>
        <a:xfrm>
          <a:off x="7336719" y="6520559"/>
          <a:ext cx="556414" cy="264062"/>
          <a:chOff x="4229301" y="8107680"/>
          <a:chExt cx="567207" cy="266700"/>
        </a:xfrm>
      </xdr:grpSpPr>
      <xdr:grpSp>
        <xdr:nvGrpSpPr>
          <xdr:cNvPr id="10" name="Group 37">
            <a:extLst>
              <a:ext uri="{FF2B5EF4-FFF2-40B4-BE49-F238E27FC236}">
                <a16:creationId xmlns:a16="http://schemas.microsoft.com/office/drawing/2014/main" id="{4B15608B-D8FF-DA9A-250E-CF7D7DFCAFC3}"/>
              </a:ext>
            </a:extLst>
          </xdr:cNvPr>
          <xdr:cNvGrpSpPr>
            <a:grpSpLocks/>
          </xdr:cNvGrpSpPr>
        </xdr:nvGrpSpPr>
        <xdr:grpSpPr bwMode="auto">
          <a:xfrm>
            <a:off x="4229301" y="8174856"/>
            <a:ext cx="567207" cy="106589"/>
            <a:chOff x="327" y="742"/>
            <a:chExt cx="43" cy="11"/>
          </a:xfrm>
        </xdr:grpSpPr>
        <xdr:sp macro="" textlink="">
          <xdr:nvSpPr>
            <xdr:cNvPr id="13" name="Line 38">
              <a:extLst>
                <a:ext uri="{FF2B5EF4-FFF2-40B4-BE49-F238E27FC236}">
                  <a16:creationId xmlns:a16="http://schemas.microsoft.com/office/drawing/2014/main" id="{486475DC-E80C-0623-7267-AF65FAE666E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7" y="747"/>
              <a:ext cx="4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Rectangle 39">
              <a:extLst>
                <a:ext uri="{FF2B5EF4-FFF2-40B4-BE49-F238E27FC236}">
                  <a16:creationId xmlns:a16="http://schemas.microsoft.com/office/drawing/2014/main" id="{9DF3671C-DD80-78B2-021E-6AB8346ECF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" y="742"/>
              <a:ext cx="23" cy="11"/>
            </a:xfrm>
            <a:prstGeom prst="rect">
              <a:avLst/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cxnSp macro="">
        <xdr:nvCxnSpPr>
          <xdr:cNvPr id="11" name="Прямая соединительная линия 10">
            <a:extLst>
              <a:ext uri="{FF2B5EF4-FFF2-40B4-BE49-F238E27FC236}">
                <a16:creationId xmlns:a16="http://schemas.microsoft.com/office/drawing/2014/main" id="{F643B240-D484-7EA7-F57A-5245D439F4E6}"/>
              </a:ext>
            </a:extLst>
          </xdr:cNvPr>
          <xdr:cNvCxnSpPr/>
        </xdr:nvCxnSpPr>
        <xdr:spPr>
          <a:xfrm flipH="1">
            <a:off x="4396740" y="8107680"/>
            <a:ext cx="246185" cy="266700"/>
          </a:xfrm>
          <a:prstGeom prst="line">
            <a:avLst/>
          </a:prstGeom>
          <a:ln w="952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Прямая соединительная линия 11">
            <a:extLst>
              <a:ext uri="{FF2B5EF4-FFF2-40B4-BE49-F238E27FC236}">
                <a16:creationId xmlns:a16="http://schemas.microsoft.com/office/drawing/2014/main" id="{86F27362-0CBB-A1D7-EF6B-4747EAB830FA}"/>
              </a:ext>
            </a:extLst>
          </xdr:cNvPr>
          <xdr:cNvCxnSpPr/>
        </xdr:nvCxnSpPr>
        <xdr:spPr>
          <a:xfrm flipH="1">
            <a:off x="4301490" y="8370570"/>
            <a:ext cx="99060" cy="0"/>
          </a:xfrm>
          <a:prstGeom prst="line">
            <a:avLst/>
          </a:prstGeom>
          <a:ln w="952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69</xdr:col>
      <xdr:colOff>199163</xdr:colOff>
      <xdr:row>38</xdr:row>
      <xdr:rowOff>38964</xdr:rowOff>
    </xdr:from>
    <xdr:to>
      <xdr:col>70</xdr:col>
      <xdr:colOff>34140</xdr:colOff>
      <xdr:row>38</xdr:row>
      <xdr:rowOff>139289</xdr:rowOff>
    </xdr:to>
    <xdr:grpSp>
      <xdr:nvGrpSpPr>
        <xdr:cNvPr id="4" name="Group 69">
          <a:extLst>
            <a:ext uri="{FF2B5EF4-FFF2-40B4-BE49-F238E27FC236}">
              <a16:creationId xmlns:a16="http://schemas.microsoft.com/office/drawing/2014/main" id="{94B18786-C230-4B08-B684-F1C05B1272FB}"/>
            </a:ext>
          </a:extLst>
        </xdr:cNvPr>
        <xdr:cNvGrpSpPr>
          <a:grpSpLocks/>
        </xdr:cNvGrpSpPr>
      </xdr:nvGrpSpPr>
      <xdr:grpSpPr bwMode="auto">
        <a:xfrm>
          <a:off x="26407567" y="6515964"/>
          <a:ext cx="465092" cy="100325"/>
          <a:chOff x="346" y="726"/>
          <a:chExt cx="54" cy="13"/>
        </a:xfrm>
      </xdr:grpSpPr>
      <xdr:sp macro="" textlink="">
        <xdr:nvSpPr>
          <xdr:cNvPr id="6" name="Line 70">
            <a:extLst>
              <a:ext uri="{FF2B5EF4-FFF2-40B4-BE49-F238E27FC236}">
                <a16:creationId xmlns:a16="http://schemas.microsoft.com/office/drawing/2014/main" id="{E6361DB2-90FE-1CD2-C9D3-D74972759E7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3" y="726"/>
            <a:ext cx="14" cy="13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71">
            <a:extLst>
              <a:ext uri="{FF2B5EF4-FFF2-40B4-BE49-F238E27FC236}">
                <a16:creationId xmlns:a16="http://schemas.microsoft.com/office/drawing/2014/main" id="{A780162E-D367-B00F-5D8D-206FE959B477}"/>
              </a:ext>
            </a:extLst>
          </xdr:cNvPr>
          <xdr:cNvSpPr>
            <a:spLocks noChangeShapeType="1"/>
          </xdr:cNvSpPr>
        </xdr:nvSpPr>
        <xdr:spPr bwMode="auto">
          <a:xfrm>
            <a:off x="382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2">
            <a:extLst>
              <a:ext uri="{FF2B5EF4-FFF2-40B4-BE49-F238E27FC236}">
                <a16:creationId xmlns:a16="http://schemas.microsoft.com/office/drawing/2014/main" id="{C721CA96-BAA8-8069-A295-F9F693C1C87D}"/>
              </a:ext>
            </a:extLst>
          </xdr:cNvPr>
          <xdr:cNvSpPr>
            <a:spLocks noChangeShapeType="1"/>
          </xdr:cNvSpPr>
        </xdr:nvSpPr>
        <xdr:spPr bwMode="auto">
          <a:xfrm>
            <a:off x="346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72</xdr:col>
      <xdr:colOff>199157</xdr:colOff>
      <xdr:row>38</xdr:row>
      <xdr:rowOff>38967</xdr:rowOff>
    </xdr:from>
    <xdr:to>
      <xdr:col>73</xdr:col>
      <xdr:colOff>34134</xdr:colOff>
      <xdr:row>38</xdr:row>
      <xdr:rowOff>139292</xdr:rowOff>
    </xdr:to>
    <xdr:grpSp>
      <xdr:nvGrpSpPr>
        <xdr:cNvPr id="15" name="Group 69">
          <a:extLst>
            <a:ext uri="{FF2B5EF4-FFF2-40B4-BE49-F238E27FC236}">
              <a16:creationId xmlns:a16="http://schemas.microsoft.com/office/drawing/2014/main" id="{11694D82-A5A5-44C8-9C43-1DCC17A50EA4}"/>
            </a:ext>
          </a:extLst>
        </xdr:cNvPr>
        <xdr:cNvGrpSpPr>
          <a:grpSpLocks/>
        </xdr:cNvGrpSpPr>
      </xdr:nvGrpSpPr>
      <xdr:grpSpPr bwMode="auto">
        <a:xfrm>
          <a:off x="27506599" y="6515967"/>
          <a:ext cx="465093" cy="100325"/>
          <a:chOff x="346" y="726"/>
          <a:chExt cx="54" cy="13"/>
        </a:xfrm>
      </xdr:grpSpPr>
      <xdr:sp macro="" textlink="">
        <xdr:nvSpPr>
          <xdr:cNvPr id="16" name="Line 70">
            <a:extLst>
              <a:ext uri="{FF2B5EF4-FFF2-40B4-BE49-F238E27FC236}">
                <a16:creationId xmlns:a16="http://schemas.microsoft.com/office/drawing/2014/main" id="{894004B2-6BFB-44E6-8A6D-7F8C82AA6764}"/>
              </a:ext>
            </a:extLst>
          </xdr:cNvPr>
          <xdr:cNvSpPr>
            <a:spLocks noChangeShapeType="1"/>
          </xdr:cNvSpPr>
        </xdr:nvSpPr>
        <xdr:spPr bwMode="auto">
          <a:xfrm flipV="1">
            <a:off x="363" y="726"/>
            <a:ext cx="14" cy="13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1">
            <a:extLst>
              <a:ext uri="{FF2B5EF4-FFF2-40B4-BE49-F238E27FC236}">
                <a16:creationId xmlns:a16="http://schemas.microsoft.com/office/drawing/2014/main" id="{97B46816-60E0-6A56-9F18-0FD81B749376}"/>
              </a:ext>
            </a:extLst>
          </xdr:cNvPr>
          <xdr:cNvSpPr>
            <a:spLocks noChangeShapeType="1"/>
          </xdr:cNvSpPr>
        </xdr:nvSpPr>
        <xdr:spPr bwMode="auto">
          <a:xfrm>
            <a:off x="382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2">
            <a:extLst>
              <a:ext uri="{FF2B5EF4-FFF2-40B4-BE49-F238E27FC236}">
                <a16:creationId xmlns:a16="http://schemas.microsoft.com/office/drawing/2014/main" id="{81788D95-BAD9-E488-8F9B-A915AD06BE76}"/>
              </a:ext>
            </a:extLst>
          </xdr:cNvPr>
          <xdr:cNvSpPr>
            <a:spLocks noChangeShapeType="1"/>
          </xdr:cNvSpPr>
        </xdr:nvSpPr>
        <xdr:spPr bwMode="auto">
          <a:xfrm>
            <a:off x="346" y="739"/>
            <a:ext cx="1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0</xdr:row>
      <xdr:rowOff>63500</xdr:rowOff>
    </xdr:from>
    <xdr:to>
      <xdr:col>11</xdr:col>
      <xdr:colOff>178594</xdr:colOff>
      <xdr:row>1</xdr:row>
      <xdr:rowOff>93266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1AF43F-1F29-3726-8ECF-3F085111560E}"/>
            </a:ext>
          </a:extLst>
        </xdr:cNvPr>
        <xdr:cNvSpPr txBox="1"/>
      </xdr:nvSpPr>
      <xdr:spPr>
        <a:xfrm>
          <a:off x="508000" y="63500"/>
          <a:ext cx="635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1400" b="1">
              <a:solidFill>
                <a:srgbClr val="000000"/>
              </a:solidFill>
            </a:rPr>
            <a:t>КОНФИГУРАТОР РАСПОЛОЖЕНИЯ МОДУЛЕЙ</a:t>
          </a:r>
        </a:p>
      </xdr:txBody>
    </xdr:sp>
    <xdr:clientData/>
  </xdr:twoCellAnchor>
  <xdr:twoCellAnchor>
    <xdr:from>
      <xdr:col>0</xdr:col>
      <xdr:colOff>330200</xdr:colOff>
      <xdr:row>6</xdr:row>
      <xdr:rowOff>102394</xdr:rowOff>
    </xdr:from>
    <xdr:to>
      <xdr:col>8</xdr:col>
      <xdr:colOff>19050</xdr:colOff>
      <xdr:row>46</xdr:row>
      <xdr:rowOff>48419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9348DD76-C631-945E-12AF-5FCFBF130756}"/>
            </a:ext>
          </a:extLst>
        </xdr:cNvPr>
        <xdr:cNvSpPr/>
      </xdr:nvSpPr>
      <xdr:spPr>
        <a:xfrm>
          <a:off x="330200" y="1066800"/>
          <a:ext cx="4546600" cy="6375400"/>
        </a:xfrm>
        <a:prstGeom prst="rect">
          <a:avLst/>
        </a:prstGeom>
        <a:solidFill>
          <a:srgbClr val="F8F9FB"/>
        </a:solidFill>
        <a:ln w="19050">
          <a:solidFill>
            <a:srgbClr val="78829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330200</xdr:colOff>
      <xdr:row>5</xdr:row>
      <xdr:rowOff>9128</xdr:rowOff>
    </xdr:from>
    <xdr:to>
      <xdr:col>8</xdr:col>
      <xdr:colOff>19050</xdr:colOff>
      <xdr:row>6</xdr:row>
      <xdr:rowOff>76994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F598C3-877D-078B-CF96-9DF3BE6474FD}"/>
            </a:ext>
          </a:extLst>
        </xdr:cNvPr>
        <xdr:cNvSpPr txBox="1"/>
      </xdr:nvSpPr>
      <xdr:spPr>
        <a:xfrm>
          <a:off x="330200" y="812800"/>
          <a:ext cx="45466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1000" b="1">
              <a:solidFill>
                <a:srgbClr val="142850"/>
              </a:solidFill>
            </a:rPr>
            <a:t>Шкаф 1 — односторонний</a:t>
          </a:r>
        </a:p>
      </xdr:txBody>
    </xdr:sp>
    <xdr:clientData/>
  </xdr:twoCellAnchor>
  <xdr:twoCellAnchor>
    <xdr:from>
      <xdr:col>8</xdr:col>
      <xdr:colOff>438150</xdr:colOff>
      <xdr:row>6</xdr:row>
      <xdr:rowOff>102394</xdr:rowOff>
    </xdr:from>
    <xdr:to>
      <xdr:col>16</xdr:col>
      <xdr:colOff>127000</xdr:colOff>
      <xdr:row>46</xdr:row>
      <xdr:rowOff>48419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FBABEBE2-4781-529C-3842-C87C7E039649}"/>
            </a:ext>
          </a:extLst>
        </xdr:cNvPr>
        <xdr:cNvSpPr/>
      </xdr:nvSpPr>
      <xdr:spPr>
        <a:xfrm>
          <a:off x="5295900" y="1066800"/>
          <a:ext cx="4546600" cy="6375400"/>
        </a:xfrm>
        <a:prstGeom prst="rect">
          <a:avLst/>
        </a:prstGeom>
        <a:solidFill>
          <a:srgbClr val="F8F9FB"/>
        </a:solidFill>
        <a:ln w="19050">
          <a:solidFill>
            <a:srgbClr val="78829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438150</xdr:colOff>
      <xdr:row>5</xdr:row>
      <xdr:rowOff>9128</xdr:rowOff>
    </xdr:from>
    <xdr:to>
      <xdr:col>16</xdr:col>
      <xdr:colOff>127000</xdr:colOff>
      <xdr:row>6</xdr:row>
      <xdr:rowOff>76994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6F1D77-8950-A2C2-DA18-FEEF2BE6D3FF}"/>
            </a:ext>
          </a:extLst>
        </xdr:cNvPr>
        <xdr:cNvSpPr txBox="1"/>
      </xdr:nvSpPr>
      <xdr:spPr>
        <a:xfrm>
          <a:off x="5295900" y="812800"/>
          <a:ext cx="45466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1000" b="1">
              <a:solidFill>
                <a:srgbClr val="142850"/>
              </a:solidFill>
            </a:rPr>
            <a:t>Шкаф 2 — односторонний</a:t>
          </a:r>
        </a:p>
      </xdr:txBody>
    </xdr:sp>
    <xdr:clientData/>
  </xdr:twoCellAnchor>
  <xdr:twoCellAnchor>
    <xdr:from>
      <xdr:col>16</xdr:col>
      <xdr:colOff>546100</xdr:colOff>
      <xdr:row>6</xdr:row>
      <xdr:rowOff>102394</xdr:rowOff>
    </xdr:from>
    <xdr:to>
      <xdr:col>24</xdr:col>
      <xdr:colOff>234950</xdr:colOff>
      <xdr:row>46</xdr:row>
      <xdr:rowOff>48419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E3EC37AE-D0EB-181F-479E-D0F3523E1B8B}"/>
            </a:ext>
          </a:extLst>
        </xdr:cNvPr>
        <xdr:cNvSpPr/>
      </xdr:nvSpPr>
      <xdr:spPr>
        <a:xfrm>
          <a:off x="10261600" y="1066800"/>
          <a:ext cx="4546600" cy="6375400"/>
        </a:xfrm>
        <a:prstGeom prst="rect">
          <a:avLst/>
        </a:prstGeom>
        <a:solidFill>
          <a:srgbClr val="F8F9FB"/>
        </a:solidFill>
        <a:ln w="19050">
          <a:solidFill>
            <a:srgbClr val="78829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546100</xdr:colOff>
      <xdr:row>5</xdr:row>
      <xdr:rowOff>9128</xdr:rowOff>
    </xdr:from>
    <xdr:to>
      <xdr:col>24</xdr:col>
      <xdr:colOff>234950</xdr:colOff>
      <xdr:row>6</xdr:row>
      <xdr:rowOff>76994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684BF0-B8BF-AF66-D2D9-3891B6996415}"/>
            </a:ext>
          </a:extLst>
        </xdr:cNvPr>
        <xdr:cNvSpPr txBox="1"/>
      </xdr:nvSpPr>
      <xdr:spPr>
        <a:xfrm>
          <a:off x="10261600" y="812800"/>
          <a:ext cx="45466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1000" b="1">
              <a:solidFill>
                <a:srgbClr val="142850"/>
              </a:solidFill>
            </a:rPr>
            <a:t>Шкаф 3 — односторонний</a:t>
          </a:r>
        </a:p>
      </xdr:txBody>
    </xdr:sp>
    <xdr:clientData/>
  </xdr:twoCellAnchor>
  <xdr:twoCellAnchor>
    <xdr:from>
      <xdr:col>0</xdr:col>
      <xdr:colOff>508000</xdr:colOff>
      <xdr:row>9</xdr:row>
      <xdr:rowOff>77391</xdr:rowOff>
    </xdr:from>
    <xdr:to>
      <xdr:col>2</xdr:col>
      <xdr:colOff>284162</xdr:colOff>
      <xdr:row>45</xdr:row>
      <xdr:rowOff>5953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76BF9BF2-B532-B6D8-EFAC-9E0A95B5A01C}"/>
            </a:ext>
          </a:extLst>
        </xdr:cNvPr>
        <xdr:cNvSpPr/>
      </xdr:nvSpPr>
      <xdr:spPr>
        <a:xfrm>
          <a:off x="5080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508000</xdr:colOff>
      <xdr:row>37</xdr:row>
      <xdr:rowOff>148828</xdr:rowOff>
    </xdr:from>
    <xdr:to>
      <xdr:col>2</xdr:col>
      <xdr:colOff>284162</xdr:colOff>
      <xdr:row>45</xdr:row>
      <xdr:rowOff>5953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C20A4FBF-9C34-A091-867E-DBB3CB20DE69}"/>
            </a:ext>
          </a:extLst>
        </xdr:cNvPr>
        <xdr:cNvSpPr/>
      </xdr:nvSpPr>
      <xdr:spPr>
        <a:xfrm>
          <a:off x="5080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508000</xdr:colOff>
      <xdr:row>37</xdr:row>
      <xdr:rowOff>148828</xdr:rowOff>
    </xdr:from>
    <xdr:to>
      <xdr:col>2</xdr:col>
      <xdr:colOff>284162</xdr:colOff>
      <xdr:row>45</xdr:row>
      <xdr:rowOff>5953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CEFB21-A534-275C-4F61-81A9382BFD3F}"/>
            </a:ext>
          </a:extLst>
        </xdr:cNvPr>
        <xdr:cNvSpPr txBox="1"/>
      </xdr:nvSpPr>
      <xdr:spPr>
        <a:xfrm>
          <a:off x="5080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0</xdr:col>
      <xdr:colOff>508000</xdr:colOff>
      <xdr:row>9</xdr:row>
      <xdr:rowOff>77391</xdr:rowOff>
    </xdr:from>
    <xdr:to>
      <xdr:col>2</xdr:col>
      <xdr:colOff>284162</xdr:colOff>
      <xdr:row>13</xdr:row>
      <xdr:rowOff>94853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EEAD6689-48F9-F167-010E-A7C18CF00610}"/>
            </a:ext>
          </a:extLst>
        </xdr:cNvPr>
        <xdr:cNvSpPr/>
      </xdr:nvSpPr>
      <xdr:spPr>
        <a:xfrm>
          <a:off x="508000" y="1524000"/>
          <a:ext cx="990600" cy="660400"/>
        </a:xfrm>
        <a:prstGeom prst="rect">
          <a:avLst/>
        </a:prstGeom>
        <a:solidFill>
          <a:srgbClr val="2E7D32"/>
        </a:solidFill>
        <a:ln w="9525">
          <a:solidFill>
            <a:srgbClr val="1B461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508000</xdr:colOff>
      <xdr:row>9</xdr:row>
      <xdr:rowOff>77391</xdr:rowOff>
    </xdr:from>
    <xdr:to>
      <xdr:col>2</xdr:col>
      <xdr:colOff>284162</xdr:colOff>
      <xdr:row>13</xdr:row>
      <xdr:rowOff>94853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1501454-8794-5B18-5C94-470A95EF0820}"/>
            </a:ext>
          </a:extLst>
        </xdr:cNvPr>
        <xdr:cNvSpPr txBox="1"/>
      </xdr:nvSpPr>
      <xdr:spPr>
        <a:xfrm>
          <a:off x="508000" y="1524000"/>
          <a:ext cx="990600" cy="660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800" b="1">
              <a:solidFill>
                <a:srgbClr val="FFFFFF"/>
              </a:solidFill>
            </a:rPr>
            <a:t>P410</a:t>
          </a:r>
          <a:endParaRPr lang="ru-RU" sz="800" b="1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508000</xdr:colOff>
      <xdr:row>7</xdr:row>
      <xdr:rowOff>17859</xdr:rowOff>
    </xdr:from>
    <xdr:to>
      <xdr:col>2</xdr:col>
      <xdr:colOff>284162</xdr:colOff>
      <xdr:row>9</xdr:row>
      <xdr:rowOff>51991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2ECCDFA-03BF-9417-CB16-5F095CE630AA}"/>
            </a:ext>
          </a:extLst>
        </xdr:cNvPr>
        <xdr:cNvSpPr txBox="1"/>
      </xdr:nvSpPr>
      <xdr:spPr>
        <a:xfrm>
          <a:off x="5080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Р1
1163/1216 мм</a:t>
          </a:r>
        </a:p>
      </xdr:txBody>
    </xdr:sp>
    <xdr:clientData/>
  </xdr:twoCellAnchor>
  <xdr:twoCellAnchor>
    <xdr:from>
      <xdr:col>2</xdr:col>
      <xdr:colOff>360362</xdr:colOff>
      <xdr:row>9</xdr:row>
      <xdr:rowOff>77391</xdr:rowOff>
    </xdr:from>
    <xdr:to>
      <xdr:col>4</xdr:col>
      <xdr:colOff>136525</xdr:colOff>
      <xdr:row>45</xdr:row>
      <xdr:rowOff>5953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CDB8D078-A104-55BC-FBE1-B9B10E66AEEC}"/>
            </a:ext>
          </a:extLst>
        </xdr:cNvPr>
        <xdr:cNvSpPr/>
      </xdr:nvSpPr>
      <xdr:spPr>
        <a:xfrm>
          <a:off x="15748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360362</xdr:colOff>
      <xdr:row>37</xdr:row>
      <xdr:rowOff>148828</xdr:rowOff>
    </xdr:from>
    <xdr:to>
      <xdr:col>4</xdr:col>
      <xdr:colOff>136525</xdr:colOff>
      <xdr:row>45</xdr:row>
      <xdr:rowOff>5953</xdr:rowOff>
    </xdr:to>
    <xdr:sp macro="" textlink="">
      <xdr:nvSpPr>
        <xdr:cNvPr id="16" name="Прямоугольник 15">
          <a:extLst>
            <a:ext uri="{FF2B5EF4-FFF2-40B4-BE49-F238E27FC236}">
              <a16:creationId xmlns:a16="http://schemas.microsoft.com/office/drawing/2014/main" id="{9729BDD0-C4FA-A31D-6D24-8BD2B28C708E}"/>
            </a:ext>
          </a:extLst>
        </xdr:cNvPr>
        <xdr:cNvSpPr/>
      </xdr:nvSpPr>
      <xdr:spPr>
        <a:xfrm>
          <a:off x="15748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360362</xdr:colOff>
      <xdr:row>37</xdr:row>
      <xdr:rowOff>148828</xdr:rowOff>
    </xdr:from>
    <xdr:to>
      <xdr:col>4</xdr:col>
      <xdr:colOff>136525</xdr:colOff>
      <xdr:row>45</xdr:row>
      <xdr:rowOff>5953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EBCAB5E-37E3-3034-CBB3-AB14C815CD38}"/>
            </a:ext>
          </a:extLst>
        </xdr:cNvPr>
        <xdr:cNvSpPr txBox="1"/>
      </xdr:nvSpPr>
      <xdr:spPr>
        <a:xfrm>
          <a:off x="15748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2</xdr:col>
      <xdr:colOff>360362</xdr:colOff>
      <xdr:row>9</xdr:row>
      <xdr:rowOff>77391</xdr:rowOff>
    </xdr:from>
    <xdr:to>
      <xdr:col>4</xdr:col>
      <xdr:colOff>136525</xdr:colOff>
      <xdr:row>13</xdr:row>
      <xdr:rowOff>94853</xdr:rowOff>
    </xdr:to>
    <xdr:sp macro="" textlink="">
      <xdr:nvSpPr>
        <xdr:cNvPr id="18" name="Прямоугольник 17">
          <a:extLst>
            <a:ext uri="{FF2B5EF4-FFF2-40B4-BE49-F238E27FC236}">
              <a16:creationId xmlns:a16="http://schemas.microsoft.com/office/drawing/2014/main" id="{680600BC-49A7-A650-961F-2A87B4042657}"/>
            </a:ext>
          </a:extLst>
        </xdr:cNvPr>
        <xdr:cNvSpPr/>
      </xdr:nvSpPr>
      <xdr:spPr>
        <a:xfrm>
          <a:off x="1574800" y="1524000"/>
          <a:ext cx="990600" cy="660400"/>
        </a:xfrm>
        <a:prstGeom prst="rect">
          <a:avLst/>
        </a:prstGeom>
        <a:solidFill>
          <a:srgbClr val="2E7D32"/>
        </a:solidFill>
        <a:ln w="9525">
          <a:solidFill>
            <a:srgbClr val="1B461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360362</xdr:colOff>
      <xdr:row>9</xdr:row>
      <xdr:rowOff>77391</xdr:rowOff>
    </xdr:from>
    <xdr:to>
      <xdr:col>4</xdr:col>
      <xdr:colOff>136525</xdr:colOff>
      <xdr:row>13</xdr:row>
      <xdr:rowOff>94853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128D296-CCD5-B269-61C2-EA23F8436D5D}"/>
            </a:ext>
          </a:extLst>
        </xdr:cNvPr>
        <xdr:cNvSpPr txBox="1"/>
      </xdr:nvSpPr>
      <xdr:spPr>
        <a:xfrm>
          <a:off x="1574800" y="1524000"/>
          <a:ext cx="990600" cy="660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800" b="1">
              <a:solidFill>
                <a:srgbClr val="FFFFFF"/>
              </a:solidFill>
            </a:rPr>
            <a:t>P410</a:t>
          </a:r>
          <a:endParaRPr lang="ru-RU" sz="8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360362</xdr:colOff>
      <xdr:row>7</xdr:row>
      <xdr:rowOff>17859</xdr:rowOff>
    </xdr:from>
    <xdr:to>
      <xdr:col>4</xdr:col>
      <xdr:colOff>136525</xdr:colOff>
      <xdr:row>9</xdr:row>
      <xdr:rowOff>51991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17E0B2-8CC4-37E7-2484-29C297D437BA}"/>
            </a:ext>
          </a:extLst>
        </xdr:cNvPr>
        <xdr:cNvSpPr txBox="1"/>
      </xdr:nvSpPr>
      <xdr:spPr>
        <a:xfrm>
          <a:off x="15748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Р2
1130/1216 мм</a:t>
          </a:r>
        </a:p>
      </xdr:txBody>
    </xdr:sp>
    <xdr:clientData/>
  </xdr:twoCellAnchor>
  <xdr:twoCellAnchor>
    <xdr:from>
      <xdr:col>4</xdr:col>
      <xdr:colOff>212725</xdr:colOff>
      <xdr:row>9</xdr:row>
      <xdr:rowOff>77391</xdr:rowOff>
    </xdr:from>
    <xdr:to>
      <xdr:col>5</xdr:col>
      <xdr:colOff>596106</xdr:colOff>
      <xdr:row>45</xdr:row>
      <xdr:rowOff>5953</xdr:rowOff>
    </xdr:to>
    <xdr:sp macro="" textlink="">
      <xdr:nvSpPr>
        <xdr:cNvPr id="21" name="Прямоугольник 20">
          <a:extLst>
            <a:ext uri="{FF2B5EF4-FFF2-40B4-BE49-F238E27FC236}">
              <a16:creationId xmlns:a16="http://schemas.microsoft.com/office/drawing/2014/main" id="{C93A70C3-D1AA-9E8C-DD95-44947BEABE52}"/>
            </a:ext>
          </a:extLst>
        </xdr:cNvPr>
        <xdr:cNvSpPr/>
      </xdr:nvSpPr>
      <xdr:spPr>
        <a:xfrm>
          <a:off x="26416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212725</xdr:colOff>
      <xdr:row>37</xdr:row>
      <xdr:rowOff>148828</xdr:rowOff>
    </xdr:from>
    <xdr:to>
      <xdr:col>5</xdr:col>
      <xdr:colOff>596106</xdr:colOff>
      <xdr:row>45</xdr:row>
      <xdr:rowOff>5953</xdr:rowOff>
    </xdr:to>
    <xdr:sp macro="" textlink="">
      <xdr:nvSpPr>
        <xdr:cNvPr id="22" name="Прямоугольник 21">
          <a:extLst>
            <a:ext uri="{FF2B5EF4-FFF2-40B4-BE49-F238E27FC236}">
              <a16:creationId xmlns:a16="http://schemas.microsoft.com/office/drawing/2014/main" id="{F609C917-5A55-C2D2-274C-4200FB92F36D}"/>
            </a:ext>
          </a:extLst>
        </xdr:cNvPr>
        <xdr:cNvSpPr/>
      </xdr:nvSpPr>
      <xdr:spPr>
        <a:xfrm>
          <a:off x="26416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212725</xdr:colOff>
      <xdr:row>37</xdr:row>
      <xdr:rowOff>148828</xdr:rowOff>
    </xdr:from>
    <xdr:to>
      <xdr:col>5</xdr:col>
      <xdr:colOff>596106</xdr:colOff>
      <xdr:row>45</xdr:row>
      <xdr:rowOff>5953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1E892F2-8339-780D-2935-E2D4E98BD199}"/>
            </a:ext>
          </a:extLst>
        </xdr:cNvPr>
        <xdr:cNvSpPr txBox="1"/>
      </xdr:nvSpPr>
      <xdr:spPr>
        <a:xfrm>
          <a:off x="26416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4</xdr:col>
      <xdr:colOff>212725</xdr:colOff>
      <xdr:row>9</xdr:row>
      <xdr:rowOff>77391</xdr:rowOff>
    </xdr:from>
    <xdr:to>
      <xdr:col>5</xdr:col>
      <xdr:colOff>596106</xdr:colOff>
      <xdr:row>13</xdr:row>
      <xdr:rowOff>94853</xdr:rowOff>
    </xdr:to>
    <xdr:sp macro="" textlink="">
      <xdr:nvSpPr>
        <xdr:cNvPr id="24" name="Прямоугольник 23">
          <a:extLst>
            <a:ext uri="{FF2B5EF4-FFF2-40B4-BE49-F238E27FC236}">
              <a16:creationId xmlns:a16="http://schemas.microsoft.com/office/drawing/2014/main" id="{98871DDF-5B27-7E29-B449-C4B9199901E1}"/>
            </a:ext>
          </a:extLst>
        </xdr:cNvPr>
        <xdr:cNvSpPr/>
      </xdr:nvSpPr>
      <xdr:spPr>
        <a:xfrm>
          <a:off x="2641600" y="1524000"/>
          <a:ext cx="990600" cy="660400"/>
        </a:xfrm>
        <a:prstGeom prst="rect">
          <a:avLst/>
        </a:prstGeom>
        <a:solidFill>
          <a:srgbClr val="1565C0"/>
        </a:solidFill>
        <a:ln w="9525">
          <a:solidFill>
            <a:srgbClr val="0D3C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212725</xdr:colOff>
      <xdr:row>9</xdr:row>
      <xdr:rowOff>77391</xdr:rowOff>
    </xdr:from>
    <xdr:to>
      <xdr:col>5</xdr:col>
      <xdr:colOff>596106</xdr:colOff>
      <xdr:row>13</xdr:row>
      <xdr:rowOff>94853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29B35C5-2C36-C001-CF6D-076C3D87BAB1}"/>
            </a:ext>
          </a:extLst>
        </xdr:cNvPr>
        <xdr:cNvSpPr txBox="1"/>
      </xdr:nvSpPr>
      <xdr:spPr>
        <a:xfrm>
          <a:off x="2641600" y="1524000"/>
          <a:ext cx="990600" cy="660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50" b="1">
              <a:solidFill>
                <a:srgbClr val="FFFFFF"/>
              </a:solidFill>
            </a:rPr>
            <a:t>Коммутаторы и БП</a:t>
          </a:r>
        </a:p>
      </xdr:txBody>
    </xdr:sp>
    <xdr:clientData/>
  </xdr:twoCellAnchor>
  <xdr:twoCellAnchor>
    <xdr:from>
      <xdr:col>4</xdr:col>
      <xdr:colOff>212725</xdr:colOff>
      <xdr:row>7</xdr:row>
      <xdr:rowOff>17859</xdr:rowOff>
    </xdr:from>
    <xdr:to>
      <xdr:col>5</xdr:col>
      <xdr:colOff>596106</xdr:colOff>
      <xdr:row>9</xdr:row>
      <xdr:rowOff>51991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4A94718-864C-FEC8-E5EE-C4CC518D8C7D}"/>
            </a:ext>
          </a:extLst>
        </xdr:cNvPr>
        <xdr:cNvSpPr txBox="1"/>
      </xdr:nvSpPr>
      <xdr:spPr>
        <a:xfrm>
          <a:off x="26416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Р3
1190/1216 мм</a:t>
          </a:r>
        </a:p>
      </xdr:txBody>
    </xdr:sp>
    <xdr:clientData/>
  </xdr:twoCellAnchor>
  <xdr:twoCellAnchor>
    <xdr:from>
      <xdr:col>6</xdr:col>
      <xdr:colOff>65087</xdr:colOff>
      <xdr:row>9</xdr:row>
      <xdr:rowOff>77391</xdr:rowOff>
    </xdr:from>
    <xdr:to>
      <xdr:col>7</xdr:col>
      <xdr:colOff>448469</xdr:colOff>
      <xdr:row>45</xdr:row>
      <xdr:rowOff>5953</xdr:rowOff>
    </xdr:to>
    <xdr:sp macro="" textlink="">
      <xdr:nvSpPr>
        <xdr:cNvPr id="27" name="Прямоугольник 26">
          <a:extLst>
            <a:ext uri="{FF2B5EF4-FFF2-40B4-BE49-F238E27FC236}">
              <a16:creationId xmlns:a16="http://schemas.microsoft.com/office/drawing/2014/main" id="{C2237014-AC99-1CB4-8265-3DCD82B91E7E}"/>
            </a:ext>
          </a:extLst>
        </xdr:cNvPr>
        <xdr:cNvSpPr/>
      </xdr:nvSpPr>
      <xdr:spPr>
        <a:xfrm>
          <a:off x="37084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65087</xdr:colOff>
      <xdr:row>37</xdr:row>
      <xdr:rowOff>148828</xdr:rowOff>
    </xdr:from>
    <xdr:to>
      <xdr:col>7</xdr:col>
      <xdr:colOff>448469</xdr:colOff>
      <xdr:row>45</xdr:row>
      <xdr:rowOff>5953</xdr:rowOff>
    </xdr:to>
    <xdr:sp macro="" textlink="">
      <xdr:nvSpPr>
        <xdr:cNvPr id="28" name="Прямоугольник 27">
          <a:extLst>
            <a:ext uri="{FF2B5EF4-FFF2-40B4-BE49-F238E27FC236}">
              <a16:creationId xmlns:a16="http://schemas.microsoft.com/office/drawing/2014/main" id="{BAAABB34-EDFD-0383-E4BF-130071E24E77}"/>
            </a:ext>
          </a:extLst>
        </xdr:cNvPr>
        <xdr:cNvSpPr/>
      </xdr:nvSpPr>
      <xdr:spPr>
        <a:xfrm>
          <a:off x="37084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65087</xdr:colOff>
      <xdr:row>37</xdr:row>
      <xdr:rowOff>148828</xdr:rowOff>
    </xdr:from>
    <xdr:to>
      <xdr:col>7</xdr:col>
      <xdr:colOff>448469</xdr:colOff>
      <xdr:row>45</xdr:row>
      <xdr:rowOff>5953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43A3EFC-C7EF-3907-3B1E-D78E38EA49AF}"/>
            </a:ext>
          </a:extLst>
        </xdr:cNvPr>
        <xdr:cNvSpPr txBox="1"/>
      </xdr:nvSpPr>
      <xdr:spPr>
        <a:xfrm>
          <a:off x="37084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6</xdr:col>
      <xdr:colOff>65087</xdr:colOff>
      <xdr:row>9</xdr:row>
      <xdr:rowOff>77391</xdr:rowOff>
    </xdr:from>
    <xdr:to>
      <xdr:col>7</xdr:col>
      <xdr:colOff>448469</xdr:colOff>
      <xdr:row>13</xdr:row>
      <xdr:rowOff>94853</xdr:rowOff>
    </xdr:to>
    <xdr:sp macro="" textlink="">
      <xdr:nvSpPr>
        <xdr:cNvPr id="30" name="Прямоугольник 29">
          <a:extLst>
            <a:ext uri="{FF2B5EF4-FFF2-40B4-BE49-F238E27FC236}">
              <a16:creationId xmlns:a16="http://schemas.microsoft.com/office/drawing/2014/main" id="{0F5A6EEB-2E57-2442-EBDD-ABAF82E45A48}"/>
            </a:ext>
          </a:extLst>
        </xdr:cNvPr>
        <xdr:cNvSpPr/>
      </xdr:nvSpPr>
      <xdr:spPr>
        <a:xfrm>
          <a:off x="3708400" y="1524000"/>
          <a:ext cx="990600" cy="660400"/>
        </a:xfrm>
        <a:prstGeom prst="rect">
          <a:avLst/>
        </a:prstGeom>
        <a:solidFill>
          <a:srgbClr val="1565C0"/>
        </a:solidFill>
        <a:ln w="9525">
          <a:solidFill>
            <a:srgbClr val="0D3C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65087</xdr:colOff>
      <xdr:row>9</xdr:row>
      <xdr:rowOff>77391</xdr:rowOff>
    </xdr:from>
    <xdr:to>
      <xdr:col>7</xdr:col>
      <xdr:colOff>448469</xdr:colOff>
      <xdr:row>13</xdr:row>
      <xdr:rowOff>94853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4C3E8F3-BE1C-3212-B72B-AD8336178A14}"/>
            </a:ext>
          </a:extLst>
        </xdr:cNvPr>
        <xdr:cNvSpPr txBox="1"/>
      </xdr:nvSpPr>
      <xdr:spPr>
        <a:xfrm>
          <a:off x="3708400" y="1524000"/>
          <a:ext cx="990600" cy="660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50" b="1">
              <a:solidFill>
                <a:srgbClr val="FFFFFF"/>
              </a:solidFill>
            </a:rPr>
            <a:t>Коммутаторы и БП</a:t>
          </a:r>
        </a:p>
      </xdr:txBody>
    </xdr:sp>
    <xdr:clientData/>
  </xdr:twoCellAnchor>
  <xdr:twoCellAnchor>
    <xdr:from>
      <xdr:col>6</xdr:col>
      <xdr:colOff>65087</xdr:colOff>
      <xdr:row>7</xdr:row>
      <xdr:rowOff>17859</xdr:rowOff>
    </xdr:from>
    <xdr:to>
      <xdr:col>7</xdr:col>
      <xdr:colOff>448469</xdr:colOff>
      <xdr:row>9</xdr:row>
      <xdr:rowOff>51991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3E99913-8C83-6797-1BBD-27DC5F3B158F}"/>
            </a:ext>
          </a:extLst>
        </xdr:cNvPr>
        <xdr:cNvSpPr txBox="1"/>
      </xdr:nvSpPr>
      <xdr:spPr>
        <a:xfrm>
          <a:off x="37084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Р4
1213/1216 мм</a:t>
          </a:r>
        </a:p>
      </xdr:txBody>
    </xdr:sp>
    <xdr:clientData/>
  </xdr:twoCellAnchor>
  <xdr:twoCellAnchor>
    <xdr:from>
      <xdr:col>9</xdr:col>
      <xdr:colOff>8731</xdr:colOff>
      <xdr:row>9</xdr:row>
      <xdr:rowOff>77391</xdr:rowOff>
    </xdr:from>
    <xdr:to>
      <xdr:col>10</xdr:col>
      <xdr:colOff>392112</xdr:colOff>
      <xdr:row>45</xdr:row>
      <xdr:rowOff>5953</xdr:rowOff>
    </xdr:to>
    <xdr:sp macro="" textlink="">
      <xdr:nvSpPr>
        <xdr:cNvPr id="33" name="Прямоугольник 32">
          <a:extLst>
            <a:ext uri="{FF2B5EF4-FFF2-40B4-BE49-F238E27FC236}">
              <a16:creationId xmlns:a16="http://schemas.microsoft.com/office/drawing/2014/main" id="{684CB834-4DE5-AB6E-D3B2-EC26E9271BD3}"/>
            </a:ext>
          </a:extLst>
        </xdr:cNvPr>
        <xdr:cNvSpPr/>
      </xdr:nvSpPr>
      <xdr:spPr>
        <a:xfrm>
          <a:off x="54737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8731</xdr:colOff>
      <xdr:row>37</xdr:row>
      <xdr:rowOff>148828</xdr:rowOff>
    </xdr:from>
    <xdr:to>
      <xdr:col>10</xdr:col>
      <xdr:colOff>392112</xdr:colOff>
      <xdr:row>45</xdr:row>
      <xdr:rowOff>5953</xdr:rowOff>
    </xdr:to>
    <xdr:sp macro="" textlink="">
      <xdr:nvSpPr>
        <xdr:cNvPr id="34" name="Прямоугольник 33">
          <a:extLst>
            <a:ext uri="{FF2B5EF4-FFF2-40B4-BE49-F238E27FC236}">
              <a16:creationId xmlns:a16="http://schemas.microsoft.com/office/drawing/2014/main" id="{98AF0AAC-C614-07A1-06FA-3A110A03BD04}"/>
            </a:ext>
          </a:extLst>
        </xdr:cNvPr>
        <xdr:cNvSpPr/>
      </xdr:nvSpPr>
      <xdr:spPr>
        <a:xfrm>
          <a:off x="54737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8731</xdr:colOff>
      <xdr:row>37</xdr:row>
      <xdr:rowOff>148828</xdr:rowOff>
    </xdr:from>
    <xdr:to>
      <xdr:col>10</xdr:col>
      <xdr:colOff>392112</xdr:colOff>
      <xdr:row>45</xdr:row>
      <xdr:rowOff>5953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B10274A-133E-924B-C6CE-244C903AF801}"/>
            </a:ext>
          </a:extLst>
        </xdr:cNvPr>
        <xdr:cNvSpPr txBox="1"/>
      </xdr:nvSpPr>
      <xdr:spPr>
        <a:xfrm>
          <a:off x="54737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9</xdr:col>
      <xdr:colOff>8731</xdr:colOff>
      <xdr:row>7</xdr:row>
      <xdr:rowOff>17859</xdr:rowOff>
    </xdr:from>
    <xdr:to>
      <xdr:col>10</xdr:col>
      <xdr:colOff>392112</xdr:colOff>
      <xdr:row>9</xdr:row>
      <xdr:rowOff>51991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57EDABF-6965-F507-0B24-B672F006602F}"/>
            </a:ext>
          </a:extLst>
        </xdr:cNvPr>
        <xdr:cNvSpPr txBox="1"/>
      </xdr:nvSpPr>
      <xdr:spPr>
        <a:xfrm>
          <a:off x="54737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Р1
1392/1440 мм</a:t>
          </a:r>
        </a:p>
      </xdr:txBody>
    </xdr:sp>
    <xdr:clientData/>
  </xdr:twoCellAnchor>
  <xdr:twoCellAnchor>
    <xdr:from>
      <xdr:col>10</xdr:col>
      <xdr:colOff>468312</xdr:colOff>
      <xdr:row>9</xdr:row>
      <xdr:rowOff>77391</xdr:rowOff>
    </xdr:from>
    <xdr:to>
      <xdr:col>12</xdr:col>
      <xdr:colOff>244475</xdr:colOff>
      <xdr:row>45</xdr:row>
      <xdr:rowOff>5953</xdr:rowOff>
    </xdr:to>
    <xdr:sp macro="" textlink="">
      <xdr:nvSpPr>
        <xdr:cNvPr id="37" name="Прямоугольник 36">
          <a:extLst>
            <a:ext uri="{FF2B5EF4-FFF2-40B4-BE49-F238E27FC236}">
              <a16:creationId xmlns:a16="http://schemas.microsoft.com/office/drawing/2014/main" id="{B1473471-BED5-10A5-12D6-FFC89DC8D62E}"/>
            </a:ext>
          </a:extLst>
        </xdr:cNvPr>
        <xdr:cNvSpPr/>
      </xdr:nvSpPr>
      <xdr:spPr>
        <a:xfrm>
          <a:off x="65405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468312</xdr:colOff>
      <xdr:row>37</xdr:row>
      <xdr:rowOff>148828</xdr:rowOff>
    </xdr:from>
    <xdr:to>
      <xdr:col>12</xdr:col>
      <xdr:colOff>244475</xdr:colOff>
      <xdr:row>45</xdr:row>
      <xdr:rowOff>5953</xdr:rowOff>
    </xdr:to>
    <xdr:sp macro="" textlink="">
      <xdr:nvSpPr>
        <xdr:cNvPr id="38" name="Прямоугольник 37">
          <a:extLst>
            <a:ext uri="{FF2B5EF4-FFF2-40B4-BE49-F238E27FC236}">
              <a16:creationId xmlns:a16="http://schemas.microsoft.com/office/drawing/2014/main" id="{57FAB55B-DF7F-0FAD-631D-A4F365669043}"/>
            </a:ext>
          </a:extLst>
        </xdr:cNvPr>
        <xdr:cNvSpPr/>
      </xdr:nvSpPr>
      <xdr:spPr>
        <a:xfrm>
          <a:off x="65405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468312</xdr:colOff>
      <xdr:row>37</xdr:row>
      <xdr:rowOff>148828</xdr:rowOff>
    </xdr:from>
    <xdr:to>
      <xdr:col>12</xdr:col>
      <xdr:colOff>244475</xdr:colOff>
      <xdr:row>45</xdr:row>
      <xdr:rowOff>5953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AD4EBCE-B177-9AE7-2A63-40AD5D60CF69}"/>
            </a:ext>
          </a:extLst>
        </xdr:cNvPr>
        <xdr:cNvSpPr txBox="1"/>
      </xdr:nvSpPr>
      <xdr:spPr>
        <a:xfrm>
          <a:off x="65405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10</xdr:col>
      <xdr:colOff>468312</xdr:colOff>
      <xdr:row>7</xdr:row>
      <xdr:rowOff>17859</xdr:rowOff>
    </xdr:from>
    <xdr:to>
      <xdr:col>12</xdr:col>
      <xdr:colOff>244475</xdr:colOff>
      <xdr:row>9</xdr:row>
      <xdr:rowOff>51991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DB9BC1-DBB3-F3B0-6B5B-E7B733A22AE0}"/>
            </a:ext>
          </a:extLst>
        </xdr:cNvPr>
        <xdr:cNvSpPr txBox="1"/>
      </xdr:nvSpPr>
      <xdr:spPr>
        <a:xfrm>
          <a:off x="65405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Р2
1403/1440 мм</a:t>
          </a:r>
        </a:p>
      </xdr:txBody>
    </xdr:sp>
    <xdr:clientData/>
  </xdr:twoCellAnchor>
  <xdr:twoCellAnchor>
    <xdr:from>
      <xdr:col>12</xdr:col>
      <xdr:colOff>320675</xdr:colOff>
      <xdr:row>9</xdr:row>
      <xdr:rowOff>77391</xdr:rowOff>
    </xdr:from>
    <xdr:to>
      <xdr:col>14</xdr:col>
      <xdr:colOff>96837</xdr:colOff>
      <xdr:row>45</xdr:row>
      <xdr:rowOff>5953</xdr:rowOff>
    </xdr:to>
    <xdr:sp macro="" textlink="">
      <xdr:nvSpPr>
        <xdr:cNvPr id="41" name="Прямоугольник 40">
          <a:extLst>
            <a:ext uri="{FF2B5EF4-FFF2-40B4-BE49-F238E27FC236}">
              <a16:creationId xmlns:a16="http://schemas.microsoft.com/office/drawing/2014/main" id="{A491B5EB-1839-9BBE-F8F7-9DDCB167849E}"/>
            </a:ext>
          </a:extLst>
        </xdr:cNvPr>
        <xdr:cNvSpPr/>
      </xdr:nvSpPr>
      <xdr:spPr>
        <a:xfrm>
          <a:off x="76073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320675</xdr:colOff>
      <xdr:row>37</xdr:row>
      <xdr:rowOff>148828</xdr:rowOff>
    </xdr:from>
    <xdr:to>
      <xdr:col>14</xdr:col>
      <xdr:colOff>96837</xdr:colOff>
      <xdr:row>45</xdr:row>
      <xdr:rowOff>5953</xdr:rowOff>
    </xdr:to>
    <xdr:sp macro="" textlink="">
      <xdr:nvSpPr>
        <xdr:cNvPr id="42" name="Прямоугольник 41">
          <a:extLst>
            <a:ext uri="{FF2B5EF4-FFF2-40B4-BE49-F238E27FC236}">
              <a16:creationId xmlns:a16="http://schemas.microsoft.com/office/drawing/2014/main" id="{0B9CEF03-09FF-46E7-8818-AF47DBC446D2}"/>
            </a:ext>
          </a:extLst>
        </xdr:cNvPr>
        <xdr:cNvSpPr/>
      </xdr:nvSpPr>
      <xdr:spPr>
        <a:xfrm>
          <a:off x="76073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320675</xdr:colOff>
      <xdr:row>37</xdr:row>
      <xdr:rowOff>148828</xdr:rowOff>
    </xdr:from>
    <xdr:to>
      <xdr:col>14</xdr:col>
      <xdr:colOff>96837</xdr:colOff>
      <xdr:row>45</xdr:row>
      <xdr:rowOff>5953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7201A3C-3ED8-FF70-2F8E-0CA67B552BD1}"/>
            </a:ext>
          </a:extLst>
        </xdr:cNvPr>
        <xdr:cNvSpPr txBox="1"/>
      </xdr:nvSpPr>
      <xdr:spPr>
        <a:xfrm>
          <a:off x="76073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12</xdr:col>
      <xdr:colOff>320675</xdr:colOff>
      <xdr:row>7</xdr:row>
      <xdr:rowOff>17859</xdr:rowOff>
    </xdr:from>
    <xdr:to>
      <xdr:col>14</xdr:col>
      <xdr:colOff>96837</xdr:colOff>
      <xdr:row>9</xdr:row>
      <xdr:rowOff>51991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142103D-BBA7-FA6F-A321-0813FDBC6C50}"/>
            </a:ext>
          </a:extLst>
        </xdr:cNvPr>
        <xdr:cNvSpPr txBox="1"/>
      </xdr:nvSpPr>
      <xdr:spPr>
        <a:xfrm>
          <a:off x="76073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Р3
1360/1440 мм</a:t>
          </a:r>
        </a:p>
      </xdr:txBody>
    </xdr:sp>
    <xdr:clientData/>
  </xdr:twoCellAnchor>
  <xdr:twoCellAnchor>
    <xdr:from>
      <xdr:col>14</xdr:col>
      <xdr:colOff>173037</xdr:colOff>
      <xdr:row>9</xdr:row>
      <xdr:rowOff>77391</xdr:rowOff>
    </xdr:from>
    <xdr:to>
      <xdr:col>15</xdr:col>
      <xdr:colOff>556419</xdr:colOff>
      <xdr:row>45</xdr:row>
      <xdr:rowOff>5953</xdr:rowOff>
    </xdr:to>
    <xdr:sp macro="" textlink="">
      <xdr:nvSpPr>
        <xdr:cNvPr id="45" name="Прямоугольник 44">
          <a:extLst>
            <a:ext uri="{FF2B5EF4-FFF2-40B4-BE49-F238E27FC236}">
              <a16:creationId xmlns:a16="http://schemas.microsoft.com/office/drawing/2014/main" id="{C283816B-6243-532A-2FB3-B09F8AA7B4E2}"/>
            </a:ext>
          </a:extLst>
        </xdr:cNvPr>
        <xdr:cNvSpPr/>
      </xdr:nvSpPr>
      <xdr:spPr>
        <a:xfrm>
          <a:off x="86741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173037</xdr:colOff>
      <xdr:row>37</xdr:row>
      <xdr:rowOff>148828</xdr:rowOff>
    </xdr:from>
    <xdr:to>
      <xdr:col>15</xdr:col>
      <xdr:colOff>556419</xdr:colOff>
      <xdr:row>45</xdr:row>
      <xdr:rowOff>5953</xdr:rowOff>
    </xdr:to>
    <xdr:sp macro="" textlink="">
      <xdr:nvSpPr>
        <xdr:cNvPr id="46" name="Прямоугольник 45">
          <a:extLst>
            <a:ext uri="{FF2B5EF4-FFF2-40B4-BE49-F238E27FC236}">
              <a16:creationId xmlns:a16="http://schemas.microsoft.com/office/drawing/2014/main" id="{CF2B45A0-A164-640F-C787-F77587095402}"/>
            </a:ext>
          </a:extLst>
        </xdr:cNvPr>
        <xdr:cNvSpPr/>
      </xdr:nvSpPr>
      <xdr:spPr>
        <a:xfrm>
          <a:off x="86741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173037</xdr:colOff>
      <xdr:row>37</xdr:row>
      <xdr:rowOff>148828</xdr:rowOff>
    </xdr:from>
    <xdr:to>
      <xdr:col>15</xdr:col>
      <xdr:colOff>556419</xdr:colOff>
      <xdr:row>45</xdr:row>
      <xdr:rowOff>5953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72721B7-B38A-35DA-9200-C250BEF3D839}"/>
            </a:ext>
          </a:extLst>
        </xdr:cNvPr>
        <xdr:cNvSpPr txBox="1"/>
      </xdr:nvSpPr>
      <xdr:spPr>
        <a:xfrm>
          <a:off x="86741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14</xdr:col>
      <xdr:colOff>173037</xdr:colOff>
      <xdr:row>7</xdr:row>
      <xdr:rowOff>17859</xdr:rowOff>
    </xdr:from>
    <xdr:to>
      <xdr:col>15</xdr:col>
      <xdr:colOff>556419</xdr:colOff>
      <xdr:row>9</xdr:row>
      <xdr:rowOff>51991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DB1A6DB-815D-7FC5-23DE-F5A503FFE818}"/>
            </a:ext>
          </a:extLst>
        </xdr:cNvPr>
        <xdr:cNvSpPr txBox="1"/>
      </xdr:nvSpPr>
      <xdr:spPr>
        <a:xfrm>
          <a:off x="86741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Р4
1360/1440 мм</a:t>
          </a:r>
        </a:p>
      </xdr:txBody>
    </xdr:sp>
    <xdr:clientData/>
  </xdr:twoCellAnchor>
  <xdr:twoCellAnchor>
    <xdr:from>
      <xdr:col>17</xdr:col>
      <xdr:colOff>116681</xdr:colOff>
      <xdr:row>9</xdr:row>
      <xdr:rowOff>77391</xdr:rowOff>
    </xdr:from>
    <xdr:to>
      <xdr:col>18</xdr:col>
      <xdr:colOff>500062</xdr:colOff>
      <xdr:row>45</xdr:row>
      <xdr:rowOff>5953</xdr:rowOff>
    </xdr:to>
    <xdr:sp macro="" textlink="">
      <xdr:nvSpPr>
        <xdr:cNvPr id="49" name="Прямоугольник 48">
          <a:extLst>
            <a:ext uri="{FF2B5EF4-FFF2-40B4-BE49-F238E27FC236}">
              <a16:creationId xmlns:a16="http://schemas.microsoft.com/office/drawing/2014/main" id="{3605D1C9-5AFA-BB52-53AF-5E8D4024188C}"/>
            </a:ext>
          </a:extLst>
        </xdr:cNvPr>
        <xdr:cNvSpPr/>
      </xdr:nvSpPr>
      <xdr:spPr>
        <a:xfrm>
          <a:off x="104394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116681</xdr:colOff>
      <xdr:row>37</xdr:row>
      <xdr:rowOff>148828</xdr:rowOff>
    </xdr:from>
    <xdr:to>
      <xdr:col>18</xdr:col>
      <xdr:colOff>500062</xdr:colOff>
      <xdr:row>45</xdr:row>
      <xdr:rowOff>5953</xdr:rowOff>
    </xdr:to>
    <xdr:sp macro="" textlink="">
      <xdr:nvSpPr>
        <xdr:cNvPr id="50" name="Прямоугольник 49">
          <a:extLst>
            <a:ext uri="{FF2B5EF4-FFF2-40B4-BE49-F238E27FC236}">
              <a16:creationId xmlns:a16="http://schemas.microsoft.com/office/drawing/2014/main" id="{668BF642-943E-BE95-8CA2-C4154F92746E}"/>
            </a:ext>
          </a:extLst>
        </xdr:cNvPr>
        <xdr:cNvSpPr/>
      </xdr:nvSpPr>
      <xdr:spPr>
        <a:xfrm>
          <a:off x="104394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116681</xdr:colOff>
      <xdr:row>37</xdr:row>
      <xdr:rowOff>148828</xdr:rowOff>
    </xdr:from>
    <xdr:to>
      <xdr:col>18</xdr:col>
      <xdr:colOff>500062</xdr:colOff>
      <xdr:row>45</xdr:row>
      <xdr:rowOff>5953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30DDFE9-CA5A-140F-7232-D3D0AD5C85B0}"/>
            </a:ext>
          </a:extLst>
        </xdr:cNvPr>
        <xdr:cNvSpPr txBox="1"/>
      </xdr:nvSpPr>
      <xdr:spPr>
        <a:xfrm>
          <a:off x="104394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17</xdr:col>
      <xdr:colOff>116681</xdr:colOff>
      <xdr:row>7</xdr:row>
      <xdr:rowOff>17859</xdr:rowOff>
    </xdr:from>
    <xdr:to>
      <xdr:col>18</xdr:col>
      <xdr:colOff>500062</xdr:colOff>
      <xdr:row>9</xdr:row>
      <xdr:rowOff>51991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9A0525A-87D1-97E7-C37B-FB8C45550037}"/>
            </a:ext>
          </a:extLst>
        </xdr:cNvPr>
        <xdr:cNvSpPr txBox="1"/>
      </xdr:nvSpPr>
      <xdr:spPr>
        <a:xfrm>
          <a:off x="104394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Р1
584/1440 мм</a:t>
          </a:r>
        </a:p>
      </xdr:txBody>
    </xdr:sp>
    <xdr:clientData/>
  </xdr:twoCellAnchor>
  <xdr:twoCellAnchor>
    <xdr:from>
      <xdr:col>18</xdr:col>
      <xdr:colOff>576262</xdr:colOff>
      <xdr:row>9</xdr:row>
      <xdr:rowOff>77391</xdr:rowOff>
    </xdr:from>
    <xdr:to>
      <xdr:col>20</xdr:col>
      <xdr:colOff>352425</xdr:colOff>
      <xdr:row>45</xdr:row>
      <xdr:rowOff>5953</xdr:rowOff>
    </xdr:to>
    <xdr:sp macro="" textlink="">
      <xdr:nvSpPr>
        <xdr:cNvPr id="53" name="Прямоугольник 52">
          <a:extLst>
            <a:ext uri="{FF2B5EF4-FFF2-40B4-BE49-F238E27FC236}">
              <a16:creationId xmlns:a16="http://schemas.microsoft.com/office/drawing/2014/main" id="{6AF67144-5CCA-803A-7AAD-71FACC97C466}"/>
            </a:ext>
          </a:extLst>
        </xdr:cNvPr>
        <xdr:cNvSpPr/>
      </xdr:nvSpPr>
      <xdr:spPr>
        <a:xfrm>
          <a:off x="115062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576262</xdr:colOff>
      <xdr:row>37</xdr:row>
      <xdr:rowOff>148828</xdr:rowOff>
    </xdr:from>
    <xdr:to>
      <xdr:col>20</xdr:col>
      <xdr:colOff>352425</xdr:colOff>
      <xdr:row>45</xdr:row>
      <xdr:rowOff>5953</xdr:rowOff>
    </xdr:to>
    <xdr:sp macro="" textlink="">
      <xdr:nvSpPr>
        <xdr:cNvPr id="54" name="Прямоугольник 53">
          <a:extLst>
            <a:ext uri="{FF2B5EF4-FFF2-40B4-BE49-F238E27FC236}">
              <a16:creationId xmlns:a16="http://schemas.microsoft.com/office/drawing/2014/main" id="{3A750929-CEA2-B763-AFD4-48EFBA2C08AE}"/>
            </a:ext>
          </a:extLst>
        </xdr:cNvPr>
        <xdr:cNvSpPr/>
      </xdr:nvSpPr>
      <xdr:spPr>
        <a:xfrm>
          <a:off x="115062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576262</xdr:colOff>
      <xdr:row>37</xdr:row>
      <xdr:rowOff>148828</xdr:rowOff>
    </xdr:from>
    <xdr:to>
      <xdr:col>20</xdr:col>
      <xdr:colOff>352425</xdr:colOff>
      <xdr:row>45</xdr:row>
      <xdr:rowOff>5953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5146CB6-2A6F-9858-636F-8906394374CE}"/>
            </a:ext>
          </a:extLst>
        </xdr:cNvPr>
        <xdr:cNvSpPr txBox="1"/>
      </xdr:nvSpPr>
      <xdr:spPr>
        <a:xfrm>
          <a:off x="115062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18</xdr:col>
      <xdr:colOff>576262</xdr:colOff>
      <xdr:row>7</xdr:row>
      <xdr:rowOff>17859</xdr:rowOff>
    </xdr:from>
    <xdr:to>
      <xdr:col>20</xdr:col>
      <xdr:colOff>352425</xdr:colOff>
      <xdr:row>9</xdr:row>
      <xdr:rowOff>51991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F85F745-A028-E737-37FD-FD766482AD54}"/>
            </a:ext>
          </a:extLst>
        </xdr:cNvPr>
        <xdr:cNvSpPr txBox="1"/>
      </xdr:nvSpPr>
      <xdr:spPr>
        <a:xfrm>
          <a:off x="115062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Р2
0/1440 мм</a:t>
          </a:r>
        </a:p>
      </xdr:txBody>
    </xdr:sp>
    <xdr:clientData/>
  </xdr:twoCellAnchor>
  <xdr:twoCellAnchor>
    <xdr:from>
      <xdr:col>20</xdr:col>
      <xdr:colOff>428625</xdr:colOff>
      <xdr:row>9</xdr:row>
      <xdr:rowOff>77391</xdr:rowOff>
    </xdr:from>
    <xdr:to>
      <xdr:col>22</xdr:col>
      <xdr:colOff>204787</xdr:colOff>
      <xdr:row>45</xdr:row>
      <xdr:rowOff>5953</xdr:rowOff>
    </xdr:to>
    <xdr:sp macro="" textlink="">
      <xdr:nvSpPr>
        <xdr:cNvPr id="57" name="Прямоугольник 56">
          <a:extLst>
            <a:ext uri="{FF2B5EF4-FFF2-40B4-BE49-F238E27FC236}">
              <a16:creationId xmlns:a16="http://schemas.microsoft.com/office/drawing/2014/main" id="{1DCAAA61-0922-78C1-0B39-24F7E0846D65}"/>
            </a:ext>
          </a:extLst>
        </xdr:cNvPr>
        <xdr:cNvSpPr/>
      </xdr:nvSpPr>
      <xdr:spPr>
        <a:xfrm>
          <a:off x="125730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428625</xdr:colOff>
      <xdr:row>37</xdr:row>
      <xdr:rowOff>148828</xdr:rowOff>
    </xdr:from>
    <xdr:to>
      <xdr:col>22</xdr:col>
      <xdr:colOff>204787</xdr:colOff>
      <xdr:row>45</xdr:row>
      <xdr:rowOff>5953</xdr:rowOff>
    </xdr:to>
    <xdr:sp macro="" textlink="">
      <xdr:nvSpPr>
        <xdr:cNvPr id="58" name="Прямоугольник 57">
          <a:extLst>
            <a:ext uri="{FF2B5EF4-FFF2-40B4-BE49-F238E27FC236}">
              <a16:creationId xmlns:a16="http://schemas.microsoft.com/office/drawing/2014/main" id="{AE8C3C61-0314-3415-7D17-D15658FBDDE7}"/>
            </a:ext>
          </a:extLst>
        </xdr:cNvPr>
        <xdr:cNvSpPr/>
      </xdr:nvSpPr>
      <xdr:spPr>
        <a:xfrm>
          <a:off x="125730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428625</xdr:colOff>
      <xdr:row>37</xdr:row>
      <xdr:rowOff>148828</xdr:rowOff>
    </xdr:from>
    <xdr:to>
      <xdr:col>22</xdr:col>
      <xdr:colOff>204787</xdr:colOff>
      <xdr:row>45</xdr:row>
      <xdr:rowOff>5953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D0B4CC2-2EB0-2239-F4A4-7C6357F92526}"/>
            </a:ext>
          </a:extLst>
        </xdr:cNvPr>
        <xdr:cNvSpPr txBox="1"/>
      </xdr:nvSpPr>
      <xdr:spPr>
        <a:xfrm>
          <a:off x="125730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20</xdr:col>
      <xdr:colOff>428625</xdr:colOff>
      <xdr:row>7</xdr:row>
      <xdr:rowOff>17859</xdr:rowOff>
    </xdr:from>
    <xdr:to>
      <xdr:col>22</xdr:col>
      <xdr:colOff>204787</xdr:colOff>
      <xdr:row>9</xdr:row>
      <xdr:rowOff>51991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081F442-4E17-9FD7-BC54-D8528457A4FA}"/>
            </a:ext>
          </a:extLst>
        </xdr:cNvPr>
        <xdr:cNvSpPr txBox="1"/>
      </xdr:nvSpPr>
      <xdr:spPr>
        <a:xfrm>
          <a:off x="125730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Р3
0/1440 мм</a:t>
          </a:r>
        </a:p>
      </xdr:txBody>
    </xdr:sp>
    <xdr:clientData/>
  </xdr:twoCellAnchor>
  <xdr:twoCellAnchor>
    <xdr:from>
      <xdr:col>22</xdr:col>
      <xdr:colOff>280987</xdr:colOff>
      <xdr:row>9</xdr:row>
      <xdr:rowOff>77391</xdr:rowOff>
    </xdr:from>
    <xdr:to>
      <xdr:col>24</xdr:col>
      <xdr:colOff>57150</xdr:colOff>
      <xdr:row>45</xdr:row>
      <xdr:rowOff>5953</xdr:rowOff>
    </xdr:to>
    <xdr:sp macro="" textlink="">
      <xdr:nvSpPr>
        <xdr:cNvPr id="61" name="Прямоугольник 60">
          <a:extLst>
            <a:ext uri="{FF2B5EF4-FFF2-40B4-BE49-F238E27FC236}">
              <a16:creationId xmlns:a16="http://schemas.microsoft.com/office/drawing/2014/main" id="{2C73FEA2-9268-1DD0-6856-891787B4C94F}"/>
            </a:ext>
          </a:extLst>
        </xdr:cNvPr>
        <xdr:cNvSpPr/>
      </xdr:nvSpPr>
      <xdr:spPr>
        <a:xfrm>
          <a:off x="13639800" y="1524000"/>
          <a:ext cx="990600" cy="5715000"/>
        </a:xfrm>
        <a:prstGeom prst="rect">
          <a:avLst/>
        </a:prstGeom>
        <a:solidFill>
          <a:srgbClr val="E8EBF0"/>
        </a:solidFill>
        <a:ln w="9525">
          <a:solidFill>
            <a:srgbClr val="96A0A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22</xdr:col>
      <xdr:colOff>280987</xdr:colOff>
      <xdr:row>37</xdr:row>
      <xdr:rowOff>148828</xdr:rowOff>
    </xdr:from>
    <xdr:to>
      <xdr:col>24</xdr:col>
      <xdr:colOff>57150</xdr:colOff>
      <xdr:row>45</xdr:row>
      <xdr:rowOff>5953</xdr:rowOff>
    </xdr:to>
    <xdr:sp macro="" textlink="">
      <xdr:nvSpPr>
        <xdr:cNvPr id="62" name="Прямоугольник 61">
          <a:extLst>
            <a:ext uri="{FF2B5EF4-FFF2-40B4-BE49-F238E27FC236}">
              <a16:creationId xmlns:a16="http://schemas.microsoft.com/office/drawing/2014/main" id="{61CC1A49-C852-3E29-D444-AAA9178364F3}"/>
            </a:ext>
          </a:extLst>
        </xdr:cNvPr>
        <xdr:cNvSpPr/>
      </xdr:nvSpPr>
      <xdr:spPr>
        <a:xfrm>
          <a:off x="13639800" y="6096000"/>
          <a:ext cx="990600" cy="11430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22</xdr:col>
      <xdr:colOff>280987</xdr:colOff>
      <xdr:row>37</xdr:row>
      <xdr:rowOff>148828</xdr:rowOff>
    </xdr:from>
    <xdr:to>
      <xdr:col>24</xdr:col>
      <xdr:colOff>57150</xdr:colOff>
      <xdr:row>45</xdr:row>
      <xdr:rowOff>5953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4F58EF2-5B75-964C-D7AE-12F8822A8E28}"/>
            </a:ext>
          </a:extLst>
        </xdr:cNvPr>
        <xdr:cNvSpPr txBox="1"/>
      </xdr:nvSpPr>
      <xdr:spPr>
        <a:xfrm>
          <a:off x="13639800" y="6096000"/>
          <a:ext cx="990600" cy="1143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600" b="0">
              <a:solidFill>
                <a:srgbClr val="966E00"/>
              </a:solidFill>
            </a:rPr>
            <a:t>резерв</a:t>
          </a:r>
        </a:p>
      </xdr:txBody>
    </xdr:sp>
    <xdr:clientData/>
  </xdr:twoCellAnchor>
  <xdr:twoCellAnchor>
    <xdr:from>
      <xdr:col>22</xdr:col>
      <xdr:colOff>280987</xdr:colOff>
      <xdr:row>7</xdr:row>
      <xdr:rowOff>17859</xdr:rowOff>
    </xdr:from>
    <xdr:to>
      <xdr:col>24</xdr:col>
      <xdr:colOff>57150</xdr:colOff>
      <xdr:row>9</xdr:row>
      <xdr:rowOff>51991</xdr:rowOff>
    </xdr:to>
    <xdr:sp macro="" textlink="">
      <xdr:nvSpPr>
        <xdr:cNvPr id="48860" name="TextBox 48859">
          <a:extLst>
            <a:ext uri="{FF2B5EF4-FFF2-40B4-BE49-F238E27FC236}">
              <a16:creationId xmlns:a16="http://schemas.microsoft.com/office/drawing/2014/main" id="{4B44CBB9-A69B-3A53-D755-468FF78C8B9F}"/>
            </a:ext>
          </a:extLst>
        </xdr:cNvPr>
        <xdr:cNvSpPr txBox="1"/>
      </xdr:nvSpPr>
      <xdr:spPr>
        <a:xfrm>
          <a:off x="13639800" y="1143000"/>
          <a:ext cx="9906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ru-RU" sz="700" b="1">
              <a:solidFill>
                <a:srgbClr val="282828"/>
              </a:solidFill>
            </a:rPr>
            <a:t>Фронтальная · Р4
0/1440 мм</a:t>
          </a:r>
        </a:p>
      </xdr:txBody>
    </xdr:sp>
    <xdr:clientData/>
  </xdr:twoCellAnchor>
  <xdr:twoCellAnchor>
    <xdr:from>
      <xdr:col>6</xdr:col>
      <xdr:colOff>77787</xdr:colOff>
      <xdr:row>32</xdr:row>
      <xdr:rowOff>120650</xdr:rowOff>
    </xdr:from>
    <xdr:to>
      <xdr:col>7</xdr:col>
      <xdr:colOff>435769</xdr:colOff>
      <xdr:row>35</xdr:row>
      <xdr:rowOff>159147</xdr:rowOff>
    </xdr:to>
    <xdr:sp macro="" textlink="">
      <xdr:nvSpPr>
        <xdr:cNvPr id="48861" name="Прямоугольник 48860">
          <a:extLst>
            <a:ext uri="{FF2B5EF4-FFF2-40B4-BE49-F238E27FC236}">
              <a16:creationId xmlns:a16="http://schemas.microsoft.com/office/drawing/2014/main" id="{34260FFE-A163-A078-119D-A0EC3EC9CF52}"/>
            </a:ext>
          </a:extLst>
        </xdr:cNvPr>
        <xdr:cNvSpPr/>
      </xdr:nvSpPr>
      <xdr:spPr>
        <a:xfrm>
          <a:off x="3721100" y="5264150"/>
          <a:ext cx="965200" cy="520700"/>
        </a:xfrm>
        <a:prstGeom prst="rect">
          <a:avLst/>
        </a:prstGeom>
        <a:solidFill>
          <a:srgbClr val="2CA02C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32</xdr:row>
      <xdr:rowOff>120650</xdr:rowOff>
    </xdr:from>
    <xdr:to>
      <xdr:col>7</xdr:col>
      <xdr:colOff>435769</xdr:colOff>
      <xdr:row>35</xdr:row>
      <xdr:rowOff>159147</xdr:rowOff>
    </xdr:to>
    <xdr:sp macro="" textlink="">
      <xdr:nvSpPr>
        <xdr:cNvPr id="48862" name="TextBox 48861">
          <a:extLst>
            <a:ext uri="{FF2B5EF4-FFF2-40B4-BE49-F238E27FC236}">
              <a16:creationId xmlns:a16="http://schemas.microsoft.com/office/drawing/2014/main" id="{7BAA34A4-3ED0-6BC0-78C1-093E12DF9536}"/>
            </a:ext>
          </a:extLst>
        </xdr:cNvPr>
        <xdr:cNvSpPr txBox="1"/>
      </xdr:nvSpPr>
      <xdr:spPr>
        <a:xfrm>
          <a:off x="3721100" y="5264150"/>
          <a:ext cx="9652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AIO.2.32/2.CLU22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9</xdr:col>
      <xdr:colOff>21431</xdr:colOff>
      <xdr:row>18</xdr:row>
      <xdr:rowOff>81756</xdr:rowOff>
    </xdr:from>
    <xdr:to>
      <xdr:col>10</xdr:col>
      <xdr:colOff>379412</xdr:colOff>
      <xdr:row>21</xdr:row>
      <xdr:rowOff>98028</xdr:rowOff>
    </xdr:to>
    <xdr:sp macro="" textlink="">
      <xdr:nvSpPr>
        <xdr:cNvPr id="48863" name="Прямоугольник 48862">
          <a:extLst>
            <a:ext uri="{FF2B5EF4-FFF2-40B4-BE49-F238E27FC236}">
              <a16:creationId xmlns:a16="http://schemas.microsoft.com/office/drawing/2014/main" id="{D4963099-BCBE-AFF4-E20A-06F1061DC84D}"/>
            </a:ext>
          </a:extLst>
        </xdr:cNvPr>
        <xdr:cNvSpPr/>
      </xdr:nvSpPr>
      <xdr:spPr>
        <a:xfrm>
          <a:off x="5486400" y="2974975"/>
          <a:ext cx="965200" cy="498475"/>
        </a:xfrm>
        <a:prstGeom prst="rect">
          <a:avLst/>
        </a:prstGeom>
        <a:solidFill>
          <a:srgbClr val="9467B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18</xdr:row>
      <xdr:rowOff>81756</xdr:rowOff>
    </xdr:from>
    <xdr:to>
      <xdr:col>10</xdr:col>
      <xdr:colOff>379412</xdr:colOff>
      <xdr:row>21</xdr:row>
      <xdr:rowOff>98028</xdr:rowOff>
    </xdr:to>
    <xdr:sp macro="" textlink="">
      <xdr:nvSpPr>
        <xdr:cNvPr id="48864" name="TextBox 48863">
          <a:extLst>
            <a:ext uri="{FF2B5EF4-FFF2-40B4-BE49-F238E27FC236}">
              <a16:creationId xmlns:a16="http://schemas.microsoft.com/office/drawing/2014/main" id="{DC004DC4-10C4-93DD-7D1F-E9CDEE4ECD35}"/>
            </a:ext>
          </a:extLst>
        </xdr:cNvPr>
        <xdr:cNvSpPr txBox="1"/>
      </xdr:nvSpPr>
      <xdr:spPr>
        <a:xfrm>
          <a:off x="5486400" y="297497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AIO.1.16/2.CLU2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9</xdr:col>
      <xdr:colOff>21431</xdr:colOff>
      <xdr:row>24</xdr:row>
      <xdr:rowOff>9525</xdr:rowOff>
    </xdr:from>
    <xdr:to>
      <xdr:col>10</xdr:col>
      <xdr:colOff>379412</xdr:colOff>
      <xdr:row>27</xdr:row>
      <xdr:rowOff>25797</xdr:rowOff>
    </xdr:to>
    <xdr:sp macro="" textlink="">
      <xdr:nvSpPr>
        <xdr:cNvPr id="48865" name="Прямоугольник 48864">
          <a:extLst>
            <a:ext uri="{FF2B5EF4-FFF2-40B4-BE49-F238E27FC236}">
              <a16:creationId xmlns:a16="http://schemas.microsoft.com/office/drawing/2014/main" id="{C72A0CF7-96CD-29F7-6DC4-C36218252E52}"/>
            </a:ext>
          </a:extLst>
        </xdr:cNvPr>
        <xdr:cNvSpPr/>
      </xdr:nvSpPr>
      <xdr:spPr>
        <a:xfrm>
          <a:off x="5486400" y="3867150"/>
          <a:ext cx="965200" cy="498475"/>
        </a:xfrm>
        <a:prstGeom prst="rect">
          <a:avLst/>
        </a:prstGeom>
        <a:solidFill>
          <a:srgbClr val="9467B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24</xdr:row>
      <xdr:rowOff>9525</xdr:rowOff>
    </xdr:from>
    <xdr:to>
      <xdr:col>10</xdr:col>
      <xdr:colOff>379412</xdr:colOff>
      <xdr:row>27</xdr:row>
      <xdr:rowOff>25797</xdr:rowOff>
    </xdr:to>
    <xdr:sp macro="" textlink="">
      <xdr:nvSpPr>
        <xdr:cNvPr id="48866" name="TextBox 48865">
          <a:extLst>
            <a:ext uri="{FF2B5EF4-FFF2-40B4-BE49-F238E27FC236}">
              <a16:creationId xmlns:a16="http://schemas.microsoft.com/office/drawing/2014/main" id="{EDA3533E-DCCF-173A-0762-2C588CAD6AA7}"/>
            </a:ext>
          </a:extLst>
        </xdr:cNvPr>
        <xdr:cNvSpPr txBox="1"/>
      </xdr:nvSpPr>
      <xdr:spPr>
        <a:xfrm>
          <a:off x="5486400" y="38671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AIO.1.16/2.CLU2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9</xdr:col>
      <xdr:colOff>21431</xdr:colOff>
      <xdr:row>29</xdr:row>
      <xdr:rowOff>66278</xdr:rowOff>
    </xdr:from>
    <xdr:to>
      <xdr:col>10</xdr:col>
      <xdr:colOff>379412</xdr:colOff>
      <xdr:row>32</xdr:row>
      <xdr:rowOff>82550</xdr:rowOff>
    </xdr:to>
    <xdr:sp macro="" textlink="">
      <xdr:nvSpPr>
        <xdr:cNvPr id="48867" name="Прямоугольник 48866">
          <a:extLst>
            <a:ext uri="{FF2B5EF4-FFF2-40B4-BE49-F238E27FC236}">
              <a16:creationId xmlns:a16="http://schemas.microsoft.com/office/drawing/2014/main" id="{56D4D06A-7B5A-369E-93D1-00FCD79F4A04}"/>
            </a:ext>
          </a:extLst>
        </xdr:cNvPr>
        <xdr:cNvSpPr/>
      </xdr:nvSpPr>
      <xdr:spPr>
        <a:xfrm>
          <a:off x="5486400" y="4727575"/>
          <a:ext cx="965200" cy="498475"/>
        </a:xfrm>
        <a:prstGeom prst="rect">
          <a:avLst/>
        </a:prstGeom>
        <a:solidFill>
          <a:srgbClr val="9467B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29</xdr:row>
      <xdr:rowOff>66278</xdr:rowOff>
    </xdr:from>
    <xdr:to>
      <xdr:col>10</xdr:col>
      <xdr:colOff>379412</xdr:colOff>
      <xdr:row>32</xdr:row>
      <xdr:rowOff>82550</xdr:rowOff>
    </xdr:to>
    <xdr:sp macro="" textlink="">
      <xdr:nvSpPr>
        <xdr:cNvPr id="48868" name="TextBox 48867">
          <a:extLst>
            <a:ext uri="{FF2B5EF4-FFF2-40B4-BE49-F238E27FC236}">
              <a16:creationId xmlns:a16="http://schemas.microsoft.com/office/drawing/2014/main" id="{E0E9D09E-2C2C-8BC0-876C-F89F24AC2280}"/>
            </a:ext>
          </a:extLst>
        </xdr:cNvPr>
        <xdr:cNvSpPr txBox="1"/>
      </xdr:nvSpPr>
      <xdr:spPr>
        <a:xfrm>
          <a:off x="5486400" y="472757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AIO.1.16/2.CLU2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481012</xdr:colOff>
      <xdr:row>9</xdr:row>
      <xdr:rowOff>77391</xdr:rowOff>
    </xdr:from>
    <xdr:to>
      <xdr:col>12</xdr:col>
      <xdr:colOff>231775</xdr:colOff>
      <xdr:row>12</xdr:row>
      <xdr:rowOff>93662</xdr:rowOff>
    </xdr:to>
    <xdr:sp macro="" textlink="">
      <xdr:nvSpPr>
        <xdr:cNvPr id="48869" name="Прямоугольник 48868">
          <a:extLst>
            <a:ext uri="{FF2B5EF4-FFF2-40B4-BE49-F238E27FC236}">
              <a16:creationId xmlns:a16="http://schemas.microsoft.com/office/drawing/2014/main" id="{EA3B0869-F7A5-EF9C-D96E-F97EDE5A4678}"/>
            </a:ext>
          </a:extLst>
        </xdr:cNvPr>
        <xdr:cNvSpPr/>
      </xdr:nvSpPr>
      <xdr:spPr>
        <a:xfrm>
          <a:off x="6553200" y="1524000"/>
          <a:ext cx="965200" cy="498475"/>
        </a:xfrm>
        <a:prstGeom prst="rect">
          <a:avLst/>
        </a:prstGeom>
        <a:solidFill>
          <a:srgbClr val="9467B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9</xdr:row>
      <xdr:rowOff>77391</xdr:rowOff>
    </xdr:from>
    <xdr:to>
      <xdr:col>12</xdr:col>
      <xdr:colOff>231775</xdr:colOff>
      <xdr:row>12</xdr:row>
      <xdr:rowOff>93662</xdr:rowOff>
    </xdr:to>
    <xdr:sp macro="" textlink="">
      <xdr:nvSpPr>
        <xdr:cNvPr id="48870" name="TextBox 48869">
          <a:extLst>
            <a:ext uri="{FF2B5EF4-FFF2-40B4-BE49-F238E27FC236}">
              <a16:creationId xmlns:a16="http://schemas.microsoft.com/office/drawing/2014/main" id="{DACE279E-51F0-C58E-E5EC-954B94B3CCA6}"/>
            </a:ext>
          </a:extLst>
        </xdr:cNvPr>
        <xdr:cNvSpPr txBox="1"/>
      </xdr:nvSpPr>
      <xdr:spPr>
        <a:xfrm>
          <a:off x="6553200" y="15240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AIO.1.16/2.CLU2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481012</xdr:colOff>
      <xdr:row>14</xdr:row>
      <xdr:rowOff>134144</xdr:rowOff>
    </xdr:from>
    <xdr:to>
      <xdr:col>12</xdr:col>
      <xdr:colOff>231775</xdr:colOff>
      <xdr:row>17</xdr:row>
      <xdr:rowOff>150416</xdr:rowOff>
    </xdr:to>
    <xdr:sp macro="" textlink="">
      <xdr:nvSpPr>
        <xdr:cNvPr id="48871" name="Прямоугольник 48870">
          <a:extLst>
            <a:ext uri="{FF2B5EF4-FFF2-40B4-BE49-F238E27FC236}">
              <a16:creationId xmlns:a16="http://schemas.microsoft.com/office/drawing/2014/main" id="{CA8C7D1D-C3A5-CC80-EDFA-EAABA3770AB1}"/>
            </a:ext>
          </a:extLst>
        </xdr:cNvPr>
        <xdr:cNvSpPr/>
      </xdr:nvSpPr>
      <xdr:spPr>
        <a:xfrm>
          <a:off x="6553200" y="2384425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14</xdr:row>
      <xdr:rowOff>134144</xdr:rowOff>
    </xdr:from>
    <xdr:to>
      <xdr:col>12</xdr:col>
      <xdr:colOff>231775</xdr:colOff>
      <xdr:row>17</xdr:row>
      <xdr:rowOff>150416</xdr:rowOff>
    </xdr:to>
    <xdr:sp macro="" textlink="">
      <xdr:nvSpPr>
        <xdr:cNvPr id="48872" name="TextBox 48871">
          <a:extLst>
            <a:ext uri="{FF2B5EF4-FFF2-40B4-BE49-F238E27FC236}">
              <a16:creationId xmlns:a16="http://schemas.microsoft.com/office/drawing/2014/main" id="{559994DE-125C-21C0-919B-EC897656D76F}"/>
            </a:ext>
          </a:extLst>
        </xdr:cNvPr>
        <xdr:cNvSpPr txBox="1"/>
      </xdr:nvSpPr>
      <xdr:spPr>
        <a:xfrm>
          <a:off x="6553200" y="238442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481012</xdr:colOff>
      <xdr:row>18</xdr:row>
      <xdr:rowOff>30956</xdr:rowOff>
    </xdr:from>
    <xdr:to>
      <xdr:col>12</xdr:col>
      <xdr:colOff>231775</xdr:colOff>
      <xdr:row>21</xdr:row>
      <xdr:rowOff>47228</xdr:rowOff>
    </xdr:to>
    <xdr:sp macro="" textlink="">
      <xdr:nvSpPr>
        <xdr:cNvPr id="48873" name="Прямоугольник 48872">
          <a:extLst>
            <a:ext uri="{FF2B5EF4-FFF2-40B4-BE49-F238E27FC236}">
              <a16:creationId xmlns:a16="http://schemas.microsoft.com/office/drawing/2014/main" id="{973D34E2-68D8-4FA3-3DAE-B4D71D8387C5}"/>
            </a:ext>
          </a:extLst>
        </xdr:cNvPr>
        <xdr:cNvSpPr/>
      </xdr:nvSpPr>
      <xdr:spPr>
        <a:xfrm>
          <a:off x="6553200" y="2924175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18</xdr:row>
      <xdr:rowOff>30956</xdr:rowOff>
    </xdr:from>
    <xdr:to>
      <xdr:col>12</xdr:col>
      <xdr:colOff>231775</xdr:colOff>
      <xdr:row>21</xdr:row>
      <xdr:rowOff>47228</xdr:rowOff>
    </xdr:to>
    <xdr:sp macro="" textlink="">
      <xdr:nvSpPr>
        <xdr:cNvPr id="48874" name="TextBox 48873">
          <a:extLst>
            <a:ext uri="{FF2B5EF4-FFF2-40B4-BE49-F238E27FC236}">
              <a16:creationId xmlns:a16="http://schemas.microsoft.com/office/drawing/2014/main" id="{F961AA2F-A6C3-E3C9-F531-AA8FB012F2FB}"/>
            </a:ext>
          </a:extLst>
        </xdr:cNvPr>
        <xdr:cNvSpPr txBox="1"/>
      </xdr:nvSpPr>
      <xdr:spPr>
        <a:xfrm>
          <a:off x="6553200" y="292417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481012</xdr:colOff>
      <xdr:row>21</xdr:row>
      <xdr:rowOff>88503</xdr:rowOff>
    </xdr:from>
    <xdr:to>
      <xdr:col>12</xdr:col>
      <xdr:colOff>231775</xdr:colOff>
      <xdr:row>24</xdr:row>
      <xdr:rowOff>104775</xdr:rowOff>
    </xdr:to>
    <xdr:sp macro="" textlink="">
      <xdr:nvSpPr>
        <xdr:cNvPr id="48875" name="Прямоугольник 48874">
          <a:extLst>
            <a:ext uri="{FF2B5EF4-FFF2-40B4-BE49-F238E27FC236}">
              <a16:creationId xmlns:a16="http://schemas.microsoft.com/office/drawing/2014/main" id="{699EE9AF-77D8-867C-7283-81F85A895104}"/>
            </a:ext>
          </a:extLst>
        </xdr:cNvPr>
        <xdr:cNvSpPr/>
      </xdr:nvSpPr>
      <xdr:spPr>
        <a:xfrm>
          <a:off x="6553200" y="3463925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21</xdr:row>
      <xdr:rowOff>88503</xdr:rowOff>
    </xdr:from>
    <xdr:to>
      <xdr:col>12</xdr:col>
      <xdr:colOff>231775</xdr:colOff>
      <xdr:row>24</xdr:row>
      <xdr:rowOff>104775</xdr:rowOff>
    </xdr:to>
    <xdr:sp macro="" textlink="">
      <xdr:nvSpPr>
        <xdr:cNvPr id="48876" name="TextBox 48875">
          <a:extLst>
            <a:ext uri="{FF2B5EF4-FFF2-40B4-BE49-F238E27FC236}">
              <a16:creationId xmlns:a16="http://schemas.microsoft.com/office/drawing/2014/main" id="{EB6FD67F-A0CB-D930-EFA0-9A631CD9D659}"/>
            </a:ext>
          </a:extLst>
        </xdr:cNvPr>
        <xdr:cNvSpPr txBox="1"/>
      </xdr:nvSpPr>
      <xdr:spPr>
        <a:xfrm>
          <a:off x="6553200" y="346392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481012</xdr:colOff>
      <xdr:row>24</xdr:row>
      <xdr:rowOff>146050</xdr:rowOff>
    </xdr:from>
    <xdr:to>
      <xdr:col>12</xdr:col>
      <xdr:colOff>231775</xdr:colOff>
      <xdr:row>28</xdr:row>
      <xdr:rowOff>1587</xdr:rowOff>
    </xdr:to>
    <xdr:sp macro="" textlink="">
      <xdr:nvSpPr>
        <xdr:cNvPr id="48877" name="Прямоугольник 48876">
          <a:extLst>
            <a:ext uri="{FF2B5EF4-FFF2-40B4-BE49-F238E27FC236}">
              <a16:creationId xmlns:a16="http://schemas.microsoft.com/office/drawing/2014/main" id="{5016A0F3-B5CD-6A63-957C-7367CE82D0CB}"/>
            </a:ext>
          </a:extLst>
        </xdr:cNvPr>
        <xdr:cNvSpPr/>
      </xdr:nvSpPr>
      <xdr:spPr>
        <a:xfrm>
          <a:off x="6553200" y="4003675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24</xdr:row>
      <xdr:rowOff>146050</xdr:rowOff>
    </xdr:from>
    <xdr:to>
      <xdr:col>12</xdr:col>
      <xdr:colOff>231775</xdr:colOff>
      <xdr:row>28</xdr:row>
      <xdr:rowOff>1587</xdr:rowOff>
    </xdr:to>
    <xdr:sp macro="" textlink="">
      <xdr:nvSpPr>
        <xdr:cNvPr id="48878" name="TextBox 48877">
          <a:extLst>
            <a:ext uri="{FF2B5EF4-FFF2-40B4-BE49-F238E27FC236}">
              <a16:creationId xmlns:a16="http://schemas.microsoft.com/office/drawing/2014/main" id="{2AF4A87D-9997-633F-BECA-119824CDC810}"/>
            </a:ext>
          </a:extLst>
        </xdr:cNvPr>
        <xdr:cNvSpPr txBox="1"/>
      </xdr:nvSpPr>
      <xdr:spPr>
        <a:xfrm>
          <a:off x="6553200" y="400367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481012</xdr:colOff>
      <xdr:row>28</xdr:row>
      <xdr:rowOff>42862</xdr:rowOff>
    </xdr:from>
    <xdr:to>
      <xdr:col>12</xdr:col>
      <xdr:colOff>231775</xdr:colOff>
      <xdr:row>31</xdr:row>
      <xdr:rowOff>59134</xdr:rowOff>
    </xdr:to>
    <xdr:sp macro="" textlink="">
      <xdr:nvSpPr>
        <xdr:cNvPr id="48879" name="Прямоугольник 48878">
          <a:extLst>
            <a:ext uri="{FF2B5EF4-FFF2-40B4-BE49-F238E27FC236}">
              <a16:creationId xmlns:a16="http://schemas.microsoft.com/office/drawing/2014/main" id="{55C446BA-6B7A-FAFC-E7B3-2F36AAA724EE}"/>
            </a:ext>
          </a:extLst>
        </xdr:cNvPr>
        <xdr:cNvSpPr/>
      </xdr:nvSpPr>
      <xdr:spPr>
        <a:xfrm>
          <a:off x="6553200" y="4543425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28</xdr:row>
      <xdr:rowOff>42862</xdr:rowOff>
    </xdr:from>
    <xdr:to>
      <xdr:col>12</xdr:col>
      <xdr:colOff>231775</xdr:colOff>
      <xdr:row>31</xdr:row>
      <xdr:rowOff>59134</xdr:rowOff>
    </xdr:to>
    <xdr:sp macro="" textlink="">
      <xdr:nvSpPr>
        <xdr:cNvPr id="48880" name="TextBox 48879">
          <a:extLst>
            <a:ext uri="{FF2B5EF4-FFF2-40B4-BE49-F238E27FC236}">
              <a16:creationId xmlns:a16="http://schemas.microsoft.com/office/drawing/2014/main" id="{09FD3EFE-F83F-62ED-35F3-CBF89CCD7FA1}"/>
            </a:ext>
          </a:extLst>
        </xdr:cNvPr>
        <xdr:cNvSpPr txBox="1"/>
      </xdr:nvSpPr>
      <xdr:spPr>
        <a:xfrm>
          <a:off x="6553200" y="454342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481012</xdr:colOff>
      <xdr:row>31</xdr:row>
      <xdr:rowOff>100409</xdr:rowOff>
    </xdr:from>
    <xdr:to>
      <xdr:col>12</xdr:col>
      <xdr:colOff>231775</xdr:colOff>
      <xdr:row>34</xdr:row>
      <xdr:rowOff>116681</xdr:rowOff>
    </xdr:to>
    <xdr:sp macro="" textlink="">
      <xdr:nvSpPr>
        <xdr:cNvPr id="48881" name="Прямоугольник 48880">
          <a:extLst>
            <a:ext uri="{FF2B5EF4-FFF2-40B4-BE49-F238E27FC236}">
              <a16:creationId xmlns:a16="http://schemas.microsoft.com/office/drawing/2014/main" id="{173C9614-FDA7-5D73-FE42-0EC781D0AFC2}"/>
            </a:ext>
          </a:extLst>
        </xdr:cNvPr>
        <xdr:cNvSpPr/>
      </xdr:nvSpPr>
      <xdr:spPr>
        <a:xfrm>
          <a:off x="6553200" y="5083175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31</xdr:row>
      <xdr:rowOff>100409</xdr:rowOff>
    </xdr:from>
    <xdr:to>
      <xdr:col>12</xdr:col>
      <xdr:colOff>231775</xdr:colOff>
      <xdr:row>34</xdr:row>
      <xdr:rowOff>116681</xdr:rowOff>
    </xdr:to>
    <xdr:sp macro="" textlink="">
      <xdr:nvSpPr>
        <xdr:cNvPr id="48882" name="TextBox 48881">
          <a:extLst>
            <a:ext uri="{FF2B5EF4-FFF2-40B4-BE49-F238E27FC236}">
              <a16:creationId xmlns:a16="http://schemas.microsoft.com/office/drawing/2014/main" id="{55D30290-E012-828A-D117-381F3889767A}"/>
            </a:ext>
          </a:extLst>
        </xdr:cNvPr>
        <xdr:cNvSpPr txBox="1"/>
      </xdr:nvSpPr>
      <xdr:spPr>
        <a:xfrm>
          <a:off x="6553200" y="508317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333375</xdr:colOff>
      <xdr:row>9</xdr:row>
      <xdr:rowOff>77391</xdr:rowOff>
    </xdr:from>
    <xdr:to>
      <xdr:col>14</xdr:col>
      <xdr:colOff>84137</xdr:colOff>
      <xdr:row>12</xdr:row>
      <xdr:rowOff>93662</xdr:rowOff>
    </xdr:to>
    <xdr:sp macro="" textlink="">
      <xdr:nvSpPr>
        <xdr:cNvPr id="48883" name="Прямоугольник 48882">
          <a:extLst>
            <a:ext uri="{FF2B5EF4-FFF2-40B4-BE49-F238E27FC236}">
              <a16:creationId xmlns:a16="http://schemas.microsoft.com/office/drawing/2014/main" id="{FCBF235C-36FA-43E6-0B7F-6A7CD70F3E02}"/>
            </a:ext>
          </a:extLst>
        </xdr:cNvPr>
        <xdr:cNvSpPr/>
      </xdr:nvSpPr>
      <xdr:spPr>
        <a:xfrm>
          <a:off x="7620000" y="152400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9</xdr:row>
      <xdr:rowOff>77391</xdr:rowOff>
    </xdr:from>
    <xdr:to>
      <xdr:col>14</xdr:col>
      <xdr:colOff>84137</xdr:colOff>
      <xdr:row>12</xdr:row>
      <xdr:rowOff>93662</xdr:rowOff>
    </xdr:to>
    <xdr:sp macro="" textlink="">
      <xdr:nvSpPr>
        <xdr:cNvPr id="48884" name="TextBox 48883">
          <a:extLst>
            <a:ext uri="{FF2B5EF4-FFF2-40B4-BE49-F238E27FC236}">
              <a16:creationId xmlns:a16="http://schemas.microsoft.com/office/drawing/2014/main" id="{FE0E54D7-23C3-DB1B-B4FA-F40E04F38E16}"/>
            </a:ext>
          </a:extLst>
        </xdr:cNvPr>
        <xdr:cNvSpPr txBox="1"/>
      </xdr:nvSpPr>
      <xdr:spPr>
        <a:xfrm>
          <a:off x="7620000" y="15240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333375</xdr:colOff>
      <xdr:row>12</xdr:row>
      <xdr:rowOff>134937</xdr:rowOff>
    </xdr:from>
    <xdr:to>
      <xdr:col>14</xdr:col>
      <xdr:colOff>84137</xdr:colOff>
      <xdr:row>15</xdr:row>
      <xdr:rowOff>151209</xdr:rowOff>
    </xdr:to>
    <xdr:sp macro="" textlink="">
      <xdr:nvSpPr>
        <xdr:cNvPr id="48885" name="Прямоугольник 48884">
          <a:extLst>
            <a:ext uri="{FF2B5EF4-FFF2-40B4-BE49-F238E27FC236}">
              <a16:creationId xmlns:a16="http://schemas.microsoft.com/office/drawing/2014/main" id="{09AB5142-6686-2665-3705-A4078DFCB1F1}"/>
            </a:ext>
          </a:extLst>
        </xdr:cNvPr>
        <xdr:cNvSpPr/>
      </xdr:nvSpPr>
      <xdr:spPr>
        <a:xfrm>
          <a:off x="7620000" y="206375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12</xdr:row>
      <xdr:rowOff>134937</xdr:rowOff>
    </xdr:from>
    <xdr:to>
      <xdr:col>14</xdr:col>
      <xdr:colOff>84137</xdr:colOff>
      <xdr:row>15</xdr:row>
      <xdr:rowOff>151209</xdr:rowOff>
    </xdr:to>
    <xdr:sp macro="" textlink="">
      <xdr:nvSpPr>
        <xdr:cNvPr id="48886" name="TextBox 48885">
          <a:extLst>
            <a:ext uri="{FF2B5EF4-FFF2-40B4-BE49-F238E27FC236}">
              <a16:creationId xmlns:a16="http://schemas.microsoft.com/office/drawing/2014/main" id="{AAED20DF-6178-8BA5-DC68-E44E6A5F8D8E}"/>
            </a:ext>
          </a:extLst>
        </xdr:cNvPr>
        <xdr:cNvSpPr txBox="1"/>
      </xdr:nvSpPr>
      <xdr:spPr>
        <a:xfrm>
          <a:off x="7620000" y="20637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333375</xdr:colOff>
      <xdr:row>16</xdr:row>
      <xdr:rowOff>31750</xdr:rowOff>
    </xdr:from>
    <xdr:to>
      <xdr:col>14</xdr:col>
      <xdr:colOff>84137</xdr:colOff>
      <xdr:row>19</xdr:row>
      <xdr:rowOff>48022</xdr:rowOff>
    </xdr:to>
    <xdr:sp macro="" textlink="">
      <xdr:nvSpPr>
        <xdr:cNvPr id="48887" name="Прямоугольник 48886">
          <a:extLst>
            <a:ext uri="{FF2B5EF4-FFF2-40B4-BE49-F238E27FC236}">
              <a16:creationId xmlns:a16="http://schemas.microsoft.com/office/drawing/2014/main" id="{D362990C-34C7-60CD-4E06-58F5DA0CA0AF}"/>
            </a:ext>
          </a:extLst>
        </xdr:cNvPr>
        <xdr:cNvSpPr/>
      </xdr:nvSpPr>
      <xdr:spPr>
        <a:xfrm>
          <a:off x="7620000" y="260350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16</xdr:row>
      <xdr:rowOff>31750</xdr:rowOff>
    </xdr:from>
    <xdr:to>
      <xdr:col>14</xdr:col>
      <xdr:colOff>84137</xdr:colOff>
      <xdr:row>19</xdr:row>
      <xdr:rowOff>48022</xdr:rowOff>
    </xdr:to>
    <xdr:sp macro="" textlink="">
      <xdr:nvSpPr>
        <xdr:cNvPr id="48888" name="TextBox 48887">
          <a:extLst>
            <a:ext uri="{FF2B5EF4-FFF2-40B4-BE49-F238E27FC236}">
              <a16:creationId xmlns:a16="http://schemas.microsoft.com/office/drawing/2014/main" id="{949650DA-D666-7D68-2B9B-63E1054052BC}"/>
            </a:ext>
          </a:extLst>
        </xdr:cNvPr>
        <xdr:cNvSpPr txBox="1"/>
      </xdr:nvSpPr>
      <xdr:spPr>
        <a:xfrm>
          <a:off x="7620000" y="26035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333375</xdr:colOff>
      <xdr:row>19</xdr:row>
      <xdr:rowOff>89297</xdr:rowOff>
    </xdr:from>
    <xdr:to>
      <xdr:col>14</xdr:col>
      <xdr:colOff>84137</xdr:colOff>
      <xdr:row>22</xdr:row>
      <xdr:rowOff>105569</xdr:rowOff>
    </xdr:to>
    <xdr:sp macro="" textlink="">
      <xdr:nvSpPr>
        <xdr:cNvPr id="48889" name="Прямоугольник 48888">
          <a:extLst>
            <a:ext uri="{FF2B5EF4-FFF2-40B4-BE49-F238E27FC236}">
              <a16:creationId xmlns:a16="http://schemas.microsoft.com/office/drawing/2014/main" id="{E3574837-3C68-2D3F-08B6-83A24F41A69C}"/>
            </a:ext>
          </a:extLst>
        </xdr:cNvPr>
        <xdr:cNvSpPr/>
      </xdr:nvSpPr>
      <xdr:spPr>
        <a:xfrm>
          <a:off x="7620000" y="314325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19</xdr:row>
      <xdr:rowOff>89297</xdr:rowOff>
    </xdr:from>
    <xdr:to>
      <xdr:col>14</xdr:col>
      <xdr:colOff>84137</xdr:colOff>
      <xdr:row>22</xdr:row>
      <xdr:rowOff>105569</xdr:rowOff>
    </xdr:to>
    <xdr:sp macro="" textlink="">
      <xdr:nvSpPr>
        <xdr:cNvPr id="48890" name="TextBox 48889">
          <a:extLst>
            <a:ext uri="{FF2B5EF4-FFF2-40B4-BE49-F238E27FC236}">
              <a16:creationId xmlns:a16="http://schemas.microsoft.com/office/drawing/2014/main" id="{D9A288B2-873C-A8E3-500E-612BF8BE8911}"/>
            </a:ext>
          </a:extLst>
        </xdr:cNvPr>
        <xdr:cNvSpPr txBox="1"/>
      </xdr:nvSpPr>
      <xdr:spPr>
        <a:xfrm>
          <a:off x="7620000" y="31432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333375</xdr:colOff>
      <xdr:row>22</xdr:row>
      <xdr:rowOff>146844</xdr:rowOff>
    </xdr:from>
    <xdr:to>
      <xdr:col>14</xdr:col>
      <xdr:colOff>84137</xdr:colOff>
      <xdr:row>26</xdr:row>
      <xdr:rowOff>2381</xdr:rowOff>
    </xdr:to>
    <xdr:sp macro="" textlink="">
      <xdr:nvSpPr>
        <xdr:cNvPr id="48891" name="Прямоугольник 48890">
          <a:extLst>
            <a:ext uri="{FF2B5EF4-FFF2-40B4-BE49-F238E27FC236}">
              <a16:creationId xmlns:a16="http://schemas.microsoft.com/office/drawing/2014/main" id="{B6DE242E-921D-6712-22A1-29539A01E3B7}"/>
            </a:ext>
          </a:extLst>
        </xdr:cNvPr>
        <xdr:cNvSpPr/>
      </xdr:nvSpPr>
      <xdr:spPr>
        <a:xfrm>
          <a:off x="7620000" y="368300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22</xdr:row>
      <xdr:rowOff>146844</xdr:rowOff>
    </xdr:from>
    <xdr:to>
      <xdr:col>14</xdr:col>
      <xdr:colOff>84137</xdr:colOff>
      <xdr:row>26</xdr:row>
      <xdr:rowOff>2381</xdr:rowOff>
    </xdr:to>
    <xdr:sp macro="" textlink="">
      <xdr:nvSpPr>
        <xdr:cNvPr id="48892" name="TextBox 48891">
          <a:extLst>
            <a:ext uri="{FF2B5EF4-FFF2-40B4-BE49-F238E27FC236}">
              <a16:creationId xmlns:a16="http://schemas.microsoft.com/office/drawing/2014/main" id="{2042594A-198E-0CBC-A47C-664BADF7B712}"/>
            </a:ext>
          </a:extLst>
        </xdr:cNvPr>
        <xdr:cNvSpPr txBox="1"/>
      </xdr:nvSpPr>
      <xdr:spPr>
        <a:xfrm>
          <a:off x="7620000" y="36830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333375</xdr:colOff>
      <xdr:row>26</xdr:row>
      <xdr:rowOff>43656</xdr:rowOff>
    </xdr:from>
    <xdr:to>
      <xdr:col>14</xdr:col>
      <xdr:colOff>84137</xdr:colOff>
      <xdr:row>29</xdr:row>
      <xdr:rowOff>59928</xdr:rowOff>
    </xdr:to>
    <xdr:sp macro="" textlink="">
      <xdr:nvSpPr>
        <xdr:cNvPr id="48893" name="Прямоугольник 48892">
          <a:extLst>
            <a:ext uri="{FF2B5EF4-FFF2-40B4-BE49-F238E27FC236}">
              <a16:creationId xmlns:a16="http://schemas.microsoft.com/office/drawing/2014/main" id="{5141A6D6-690D-120B-1A9F-52F1B52641DE}"/>
            </a:ext>
          </a:extLst>
        </xdr:cNvPr>
        <xdr:cNvSpPr/>
      </xdr:nvSpPr>
      <xdr:spPr>
        <a:xfrm>
          <a:off x="7620000" y="422275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26</xdr:row>
      <xdr:rowOff>43656</xdr:rowOff>
    </xdr:from>
    <xdr:to>
      <xdr:col>14</xdr:col>
      <xdr:colOff>84137</xdr:colOff>
      <xdr:row>29</xdr:row>
      <xdr:rowOff>59928</xdr:rowOff>
    </xdr:to>
    <xdr:sp macro="" textlink="">
      <xdr:nvSpPr>
        <xdr:cNvPr id="48894" name="TextBox 48893">
          <a:extLst>
            <a:ext uri="{FF2B5EF4-FFF2-40B4-BE49-F238E27FC236}">
              <a16:creationId xmlns:a16="http://schemas.microsoft.com/office/drawing/2014/main" id="{77D74722-6543-5217-887A-91FA9A73D8F7}"/>
            </a:ext>
          </a:extLst>
        </xdr:cNvPr>
        <xdr:cNvSpPr txBox="1"/>
      </xdr:nvSpPr>
      <xdr:spPr>
        <a:xfrm>
          <a:off x="7620000" y="42227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333375</xdr:colOff>
      <xdr:row>29</xdr:row>
      <xdr:rowOff>101203</xdr:rowOff>
    </xdr:from>
    <xdr:to>
      <xdr:col>14</xdr:col>
      <xdr:colOff>84137</xdr:colOff>
      <xdr:row>32</xdr:row>
      <xdr:rowOff>117475</xdr:rowOff>
    </xdr:to>
    <xdr:sp macro="" textlink="">
      <xdr:nvSpPr>
        <xdr:cNvPr id="48895" name="Прямоугольник 48894">
          <a:extLst>
            <a:ext uri="{FF2B5EF4-FFF2-40B4-BE49-F238E27FC236}">
              <a16:creationId xmlns:a16="http://schemas.microsoft.com/office/drawing/2014/main" id="{080BCD34-C799-67FA-AF53-0F1AA7FABD7F}"/>
            </a:ext>
          </a:extLst>
        </xdr:cNvPr>
        <xdr:cNvSpPr/>
      </xdr:nvSpPr>
      <xdr:spPr>
        <a:xfrm>
          <a:off x="7620000" y="476250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29</xdr:row>
      <xdr:rowOff>101203</xdr:rowOff>
    </xdr:from>
    <xdr:to>
      <xdr:col>14</xdr:col>
      <xdr:colOff>84137</xdr:colOff>
      <xdr:row>32</xdr:row>
      <xdr:rowOff>117475</xdr:rowOff>
    </xdr:to>
    <xdr:sp macro="" textlink="">
      <xdr:nvSpPr>
        <xdr:cNvPr id="48576" name="TextBox 48575">
          <a:extLst>
            <a:ext uri="{FF2B5EF4-FFF2-40B4-BE49-F238E27FC236}">
              <a16:creationId xmlns:a16="http://schemas.microsoft.com/office/drawing/2014/main" id="{5EAEED5F-D082-BDDF-25B8-0F6BA6FCA237}"/>
            </a:ext>
          </a:extLst>
        </xdr:cNvPr>
        <xdr:cNvSpPr txBox="1"/>
      </xdr:nvSpPr>
      <xdr:spPr>
        <a:xfrm>
          <a:off x="7620000" y="47625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333375</xdr:colOff>
      <xdr:row>32</xdr:row>
      <xdr:rowOff>158750</xdr:rowOff>
    </xdr:from>
    <xdr:to>
      <xdr:col>14</xdr:col>
      <xdr:colOff>84137</xdr:colOff>
      <xdr:row>36</xdr:row>
      <xdr:rowOff>14287</xdr:rowOff>
    </xdr:to>
    <xdr:sp macro="" textlink="">
      <xdr:nvSpPr>
        <xdr:cNvPr id="48577" name="Прямоугольник 48576">
          <a:extLst>
            <a:ext uri="{FF2B5EF4-FFF2-40B4-BE49-F238E27FC236}">
              <a16:creationId xmlns:a16="http://schemas.microsoft.com/office/drawing/2014/main" id="{311C3765-602E-256E-E797-ED80B9F00193}"/>
            </a:ext>
          </a:extLst>
        </xdr:cNvPr>
        <xdr:cNvSpPr/>
      </xdr:nvSpPr>
      <xdr:spPr>
        <a:xfrm>
          <a:off x="7620000" y="530225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32</xdr:row>
      <xdr:rowOff>158750</xdr:rowOff>
    </xdr:from>
    <xdr:to>
      <xdr:col>14</xdr:col>
      <xdr:colOff>84137</xdr:colOff>
      <xdr:row>36</xdr:row>
      <xdr:rowOff>14287</xdr:rowOff>
    </xdr:to>
    <xdr:sp macro="" textlink="">
      <xdr:nvSpPr>
        <xdr:cNvPr id="48578" name="TextBox 48577">
          <a:extLst>
            <a:ext uri="{FF2B5EF4-FFF2-40B4-BE49-F238E27FC236}">
              <a16:creationId xmlns:a16="http://schemas.microsoft.com/office/drawing/2014/main" id="{94107C85-028C-DBA7-F62C-BA84D69A5112}"/>
            </a:ext>
          </a:extLst>
        </xdr:cNvPr>
        <xdr:cNvSpPr txBox="1"/>
      </xdr:nvSpPr>
      <xdr:spPr>
        <a:xfrm>
          <a:off x="7620000" y="53022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185737</xdr:colOff>
      <xdr:row>9</xdr:row>
      <xdr:rowOff>77391</xdr:rowOff>
    </xdr:from>
    <xdr:to>
      <xdr:col>15</xdr:col>
      <xdr:colOff>543719</xdr:colOff>
      <xdr:row>12</xdr:row>
      <xdr:rowOff>93662</xdr:rowOff>
    </xdr:to>
    <xdr:sp macro="" textlink="">
      <xdr:nvSpPr>
        <xdr:cNvPr id="48579" name="Прямоугольник 48578">
          <a:extLst>
            <a:ext uri="{FF2B5EF4-FFF2-40B4-BE49-F238E27FC236}">
              <a16:creationId xmlns:a16="http://schemas.microsoft.com/office/drawing/2014/main" id="{466BE6ED-340F-B973-7FC0-0D5F5AB697A2}"/>
            </a:ext>
          </a:extLst>
        </xdr:cNvPr>
        <xdr:cNvSpPr/>
      </xdr:nvSpPr>
      <xdr:spPr>
        <a:xfrm>
          <a:off x="8686800" y="152400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9</xdr:row>
      <xdr:rowOff>77391</xdr:rowOff>
    </xdr:from>
    <xdr:to>
      <xdr:col>15</xdr:col>
      <xdr:colOff>543719</xdr:colOff>
      <xdr:row>12</xdr:row>
      <xdr:rowOff>93662</xdr:rowOff>
    </xdr:to>
    <xdr:sp macro="" textlink="">
      <xdr:nvSpPr>
        <xdr:cNvPr id="48580" name="TextBox 48579">
          <a:extLst>
            <a:ext uri="{FF2B5EF4-FFF2-40B4-BE49-F238E27FC236}">
              <a16:creationId xmlns:a16="http://schemas.microsoft.com/office/drawing/2014/main" id="{6B714633-982B-12B1-3E82-18C7989CDCEA}"/>
            </a:ext>
          </a:extLst>
        </xdr:cNvPr>
        <xdr:cNvSpPr txBox="1"/>
      </xdr:nvSpPr>
      <xdr:spPr>
        <a:xfrm>
          <a:off x="8686800" y="15240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185737</xdr:colOff>
      <xdr:row>12</xdr:row>
      <xdr:rowOff>134937</xdr:rowOff>
    </xdr:from>
    <xdr:to>
      <xdr:col>15</xdr:col>
      <xdr:colOff>543719</xdr:colOff>
      <xdr:row>15</xdr:row>
      <xdr:rowOff>151209</xdr:rowOff>
    </xdr:to>
    <xdr:sp macro="" textlink="">
      <xdr:nvSpPr>
        <xdr:cNvPr id="48581" name="Прямоугольник 48580">
          <a:extLst>
            <a:ext uri="{FF2B5EF4-FFF2-40B4-BE49-F238E27FC236}">
              <a16:creationId xmlns:a16="http://schemas.microsoft.com/office/drawing/2014/main" id="{C28783D2-322B-6F6C-0D34-5861785E1ADA}"/>
            </a:ext>
          </a:extLst>
        </xdr:cNvPr>
        <xdr:cNvSpPr/>
      </xdr:nvSpPr>
      <xdr:spPr>
        <a:xfrm>
          <a:off x="8686800" y="206375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12</xdr:row>
      <xdr:rowOff>134937</xdr:rowOff>
    </xdr:from>
    <xdr:to>
      <xdr:col>15</xdr:col>
      <xdr:colOff>543719</xdr:colOff>
      <xdr:row>15</xdr:row>
      <xdr:rowOff>151209</xdr:rowOff>
    </xdr:to>
    <xdr:sp macro="" textlink="">
      <xdr:nvSpPr>
        <xdr:cNvPr id="48582" name="TextBox 48581">
          <a:extLst>
            <a:ext uri="{FF2B5EF4-FFF2-40B4-BE49-F238E27FC236}">
              <a16:creationId xmlns:a16="http://schemas.microsoft.com/office/drawing/2014/main" id="{D0B65069-72C4-7173-375E-04DBE95A9ECD}"/>
            </a:ext>
          </a:extLst>
        </xdr:cNvPr>
        <xdr:cNvSpPr txBox="1"/>
      </xdr:nvSpPr>
      <xdr:spPr>
        <a:xfrm>
          <a:off x="8686800" y="20637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185737</xdr:colOff>
      <xdr:row>16</xdr:row>
      <xdr:rowOff>31750</xdr:rowOff>
    </xdr:from>
    <xdr:to>
      <xdr:col>15</xdr:col>
      <xdr:colOff>543719</xdr:colOff>
      <xdr:row>19</xdr:row>
      <xdr:rowOff>48022</xdr:rowOff>
    </xdr:to>
    <xdr:sp macro="" textlink="">
      <xdr:nvSpPr>
        <xdr:cNvPr id="48583" name="Прямоугольник 48582">
          <a:extLst>
            <a:ext uri="{FF2B5EF4-FFF2-40B4-BE49-F238E27FC236}">
              <a16:creationId xmlns:a16="http://schemas.microsoft.com/office/drawing/2014/main" id="{757C804A-1F08-D17A-7B34-0456963717F7}"/>
            </a:ext>
          </a:extLst>
        </xdr:cNvPr>
        <xdr:cNvSpPr/>
      </xdr:nvSpPr>
      <xdr:spPr>
        <a:xfrm>
          <a:off x="8686800" y="260350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16</xdr:row>
      <xdr:rowOff>31750</xdr:rowOff>
    </xdr:from>
    <xdr:to>
      <xdr:col>15</xdr:col>
      <xdr:colOff>543719</xdr:colOff>
      <xdr:row>19</xdr:row>
      <xdr:rowOff>48022</xdr:rowOff>
    </xdr:to>
    <xdr:sp macro="" textlink="">
      <xdr:nvSpPr>
        <xdr:cNvPr id="48584" name="TextBox 48583">
          <a:extLst>
            <a:ext uri="{FF2B5EF4-FFF2-40B4-BE49-F238E27FC236}">
              <a16:creationId xmlns:a16="http://schemas.microsoft.com/office/drawing/2014/main" id="{A8BD04B1-7851-B688-5969-693D855D9CAA}"/>
            </a:ext>
          </a:extLst>
        </xdr:cNvPr>
        <xdr:cNvSpPr txBox="1"/>
      </xdr:nvSpPr>
      <xdr:spPr>
        <a:xfrm>
          <a:off x="8686800" y="26035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185737</xdr:colOff>
      <xdr:row>19</xdr:row>
      <xdr:rowOff>89297</xdr:rowOff>
    </xdr:from>
    <xdr:to>
      <xdr:col>15</xdr:col>
      <xdr:colOff>543719</xdr:colOff>
      <xdr:row>22</xdr:row>
      <xdr:rowOff>105569</xdr:rowOff>
    </xdr:to>
    <xdr:sp macro="" textlink="">
      <xdr:nvSpPr>
        <xdr:cNvPr id="48585" name="Прямоугольник 48584">
          <a:extLst>
            <a:ext uri="{FF2B5EF4-FFF2-40B4-BE49-F238E27FC236}">
              <a16:creationId xmlns:a16="http://schemas.microsoft.com/office/drawing/2014/main" id="{41074333-8E4A-0D9E-ABA7-6AA8ECEF036B}"/>
            </a:ext>
          </a:extLst>
        </xdr:cNvPr>
        <xdr:cNvSpPr/>
      </xdr:nvSpPr>
      <xdr:spPr>
        <a:xfrm>
          <a:off x="8686800" y="314325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19</xdr:row>
      <xdr:rowOff>89297</xdr:rowOff>
    </xdr:from>
    <xdr:to>
      <xdr:col>15</xdr:col>
      <xdr:colOff>543719</xdr:colOff>
      <xdr:row>22</xdr:row>
      <xdr:rowOff>105569</xdr:rowOff>
    </xdr:to>
    <xdr:sp macro="" textlink="">
      <xdr:nvSpPr>
        <xdr:cNvPr id="48586" name="TextBox 48585">
          <a:extLst>
            <a:ext uri="{FF2B5EF4-FFF2-40B4-BE49-F238E27FC236}">
              <a16:creationId xmlns:a16="http://schemas.microsoft.com/office/drawing/2014/main" id="{A85088A0-B0A5-508E-952D-B25245FDC9C2}"/>
            </a:ext>
          </a:extLst>
        </xdr:cNvPr>
        <xdr:cNvSpPr txBox="1"/>
      </xdr:nvSpPr>
      <xdr:spPr>
        <a:xfrm>
          <a:off x="8686800" y="31432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185737</xdr:colOff>
      <xdr:row>22</xdr:row>
      <xdr:rowOff>146844</xdr:rowOff>
    </xdr:from>
    <xdr:to>
      <xdr:col>15</xdr:col>
      <xdr:colOff>543719</xdr:colOff>
      <xdr:row>26</xdr:row>
      <xdr:rowOff>2381</xdr:rowOff>
    </xdr:to>
    <xdr:sp macro="" textlink="">
      <xdr:nvSpPr>
        <xdr:cNvPr id="48587" name="Прямоугольник 48586">
          <a:extLst>
            <a:ext uri="{FF2B5EF4-FFF2-40B4-BE49-F238E27FC236}">
              <a16:creationId xmlns:a16="http://schemas.microsoft.com/office/drawing/2014/main" id="{19C00538-3F54-15A1-758A-401632B222D4}"/>
            </a:ext>
          </a:extLst>
        </xdr:cNvPr>
        <xdr:cNvSpPr/>
      </xdr:nvSpPr>
      <xdr:spPr>
        <a:xfrm>
          <a:off x="8686800" y="368300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22</xdr:row>
      <xdr:rowOff>146844</xdr:rowOff>
    </xdr:from>
    <xdr:to>
      <xdr:col>15</xdr:col>
      <xdr:colOff>543719</xdr:colOff>
      <xdr:row>26</xdr:row>
      <xdr:rowOff>2381</xdr:rowOff>
    </xdr:to>
    <xdr:sp macro="" textlink="">
      <xdr:nvSpPr>
        <xdr:cNvPr id="48588" name="TextBox 48587">
          <a:extLst>
            <a:ext uri="{FF2B5EF4-FFF2-40B4-BE49-F238E27FC236}">
              <a16:creationId xmlns:a16="http://schemas.microsoft.com/office/drawing/2014/main" id="{8CF9E3BA-36E4-16B6-4C1A-27973695909B}"/>
            </a:ext>
          </a:extLst>
        </xdr:cNvPr>
        <xdr:cNvSpPr txBox="1"/>
      </xdr:nvSpPr>
      <xdr:spPr>
        <a:xfrm>
          <a:off x="8686800" y="36830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185737</xdr:colOff>
      <xdr:row>26</xdr:row>
      <xdr:rowOff>43656</xdr:rowOff>
    </xdr:from>
    <xdr:to>
      <xdr:col>15</xdr:col>
      <xdr:colOff>543719</xdr:colOff>
      <xdr:row>29</xdr:row>
      <xdr:rowOff>59928</xdr:rowOff>
    </xdr:to>
    <xdr:sp macro="" textlink="">
      <xdr:nvSpPr>
        <xdr:cNvPr id="48589" name="Прямоугольник 48588">
          <a:extLst>
            <a:ext uri="{FF2B5EF4-FFF2-40B4-BE49-F238E27FC236}">
              <a16:creationId xmlns:a16="http://schemas.microsoft.com/office/drawing/2014/main" id="{9B7E5363-A116-9252-64D2-2E15E72B334C}"/>
            </a:ext>
          </a:extLst>
        </xdr:cNvPr>
        <xdr:cNvSpPr/>
      </xdr:nvSpPr>
      <xdr:spPr>
        <a:xfrm>
          <a:off x="8686800" y="422275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26</xdr:row>
      <xdr:rowOff>43656</xdr:rowOff>
    </xdr:from>
    <xdr:to>
      <xdr:col>15</xdr:col>
      <xdr:colOff>543719</xdr:colOff>
      <xdr:row>29</xdr:row>
      <xdr:rowOff>59928</xdr:rowOff>
    </xdr:to>
    <xdr:sp macro="" textlink="">
      <xdr:nvSpPr>
        <xdr:cNvPr id="48590" name="TextBox 48589">
          <a:extLst>
            <a:ext uri="{FF2B5EF4-FFF2-40B4-BE49-F238E27FC236}">
              <a16:creationId xmlns:a16="http://schemas.microsoft.com/office/drawing/2014/main" id="{CCD8B785-DC3E-4AC6-6DA4-5CEB76BE18E9}"/>
            </a:ext>
          </a:extLst>
        </xdr:cNvPr>
        <xdr:cNvSpPr txBox="1"/>
      </xdr:nvSpPr>
      <xdr:spPr>
        <a:xfrm>
          <a:off x="8686800" y="42227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185737</xdr:colOff>
      <xdr:row>29</xdr:row>
      <xdr:rowOff>101203</xdr:rowOff>
    </xdr:from>
    <xdr:to>
      <xdr:col>15</xdr:col>
      <xdr:colOff>543719</xdr:colOff>
      <xdr:row>32</xdr:row>
      <xdr:rowOff>117475</xdr:rowOff>
    </xdr:to>
    <xdr:sp macro="" textlink="">
      <xdr:nvSpPr>
        <xdr:cNvPr id="48591" name="Прямоугольник 48590">
          <a:extLst>
            <a:ext uri="{FF2B5EF4-FFF2-40B4-BE49-F238E27FC236}">
              <a16:creationId xmlns:a16="http://schemas.microsoft.com/office/drawing/2014/main" id="{5BAAF7ED-B5E5-5285-3FC3-C018B5D6934E}"/>
            </a:ext>
          </a:extLst>
        </xdr:cNvPr>
        <xdr:cNvSpPr/>
      </xdr:nvSpPr>
      <xdr:spPr>
        <a:xfrm>
          <a:off x="8686800" y="476250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29</xdr:row>
      <xdr:rowOff>101203</xdr:rowOff>
    </xdr:from>
    <xdr:to>
      <xdr:col>15</xdr:col>
      <xdr:colOff>543719</xdr:colOff>
      <xdr:row>32</xdr:row>
      <xdr:rowOff>117475</xdr:rowOff>
    </xdr:to>
    <xdr:sp macro="" textlink="">
      <xdr:nvSpPr>
        <xdr:cNvPr id="48592" name="TextBox 48591">
          <a:extLst>
            <a:ext uri="{FF2B5EF4-FFF2-40B4-BE49-F238E27FC236}">
              <a16:creationId xmlns:a16="http://schemas.microsoft.com/office/drawing/2014/main" id="{FA7268B4-05BA-C015-659B-A2E6531A0EBD}"/>
            </a:ext>
          </a:extLst>
        </xdr:cNvPr>
        <xdr:cNvSpPr txBox="1"/>
      </xdr:nvSpPr>
      <xdr:spPr>
        <a:xfrm>
          <a:off x="8686800" y="47625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185737</xdr:colOff>
      <xdr:row>32</xdr:row>
      <xdr:rowOff>158750</xdr:rowOff>
    </xdr:from>
    <xdr:to>
      <xdr:col>15</xdr:col>
      <xdr:colOff>543719</xdr:colOff>
      <xdr:row>36</xdr:row>
      <xdr:rowOff>14287</xdr:rowOff>
    </xdr:to>
    <xdr:sp macro="" textlink="">
      <xdr:nvSpPr>
        <xdr:cNvPr id="48593" name="Прямоугольник 48592">
          <a:extLst>
            <a:ext uri="{FF2B5EF4-FFF2-40B4-BE49-F238E27FC236}">
              <a16:creationId xmlns:a16="http://schemas.microsoft.com/office/drawing/2014/main" id="{79249C4C-36F4-8990-2EF0-2952E730AED0}"/>
            </a:ext>
          </a:extLst>
        </xdr:cNvPr>
        <xdr:cNvSpPr/>
      </xdr:nvSpPr>
      <xdr:spPr>
        <a:xfrm>
          <a:off x="8686800" y="5302250"/>
          <a:ext cx="965200" cy="498475"/>
        </a:xfrm>
        <a:prstGeom prst="rect">
          <a:avLst/>
        </a:prstGeom>
        <a:solidFill>
          <a:srgbClr val="8C564B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32</xdr:row>
      <xdr:rowOff>158750</xdr:rowOff>
    </xdr:from>
    <xdr:to>
      <xdr:col>15</xdr:col>
      <xdr:colOff>543719</xdr:colOff>
      <xdr:row>36</xdr:row>
      <xdr:rowOff>14287</xdr:rowOff>
    </xdr:to>
    <xdr:sp macro="" textlink="">
      <xdr:nvSpPr>
        <xdr:cNvPr id="48594" name="TextBox 48593">
          <a:extLst>
            <a:ext uri="{FF2B5EF4-FFF2-40B4-BE49-F238E27FC236}">
              <a16:creationId xmlns:a16="http://schemas.microsoft.com/office/drawing/2014/main" id="{AC5F26C7-D0CA-262A-70B0-0393BECAAA67}"/>
            </a:ext>
          </a:extLst>
        </xdr:cNvPr>
        <xdr:cNvSpPr txBox="1"/>
      </xdr:nvSpPr>
      <xdr:spPr>
        <a:xfrm>
          <a:off x="8686800" y="53022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AIO.1.00/2.CLU2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520700</xdr:colOff>
      <xdr:row>22</xdr:row>
      <xdr:rowOff>26194</xdr:rowOff>
    </xdr:from>
    <xdr:to>
      <xdr:col>2</xdr:col>
      <xdr:colOff>271462</xdr:colOff>
      <xdr:row>25</xdr:row>
      <xdr:rowOff>42466</xdr:rowOff>
    </xdr:to>
    <xdr:sp macro="" textlink="">
      <xdr:nvSpPr>
        <xdr:cNvPr id="48595" name="Прямоугольник 48594">
          <a:extLst>
            <a:ext uri="{FF2B5EF4-FFF2-40B4-BE49-F238E27FC236}">
              <a16:creationId xmlns:a16="http://schemas.microsoft.com/office/drawing/2014/main" id="{EAEF589C-F718-D9CC-7C2D-C76CA4937266}"/>
            </a:ext>
          </a:extLst>
        </xdr:cNvPr>
        <xdr:cNvSpPr/>
      </xdr:nvSpPr>
      <xdr:spPr>
        <a:xfrm>
          <a:off x="520700" y="3562350"/>
          <a:ext cx="965200" cy="498475"/>
        </a:xfrm>
        <a:prstGeom prst="rect">
          <a:avLst/>
        </a:prstGeom>
        <a:solidFill>
          <a:srgbClr val="E377C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22</xdr:row>
      <xdr:rowOff>26194</xdr:rowOff>
    </xdr:from>
    <xdr:to>
      <xdr:col>2</xdr:col>
      <xdr:colOff>271462</xdr:colOff>
      <xdr:row>25</xdr:row>
      <xdr:rowOff>42466</xdr:rowOff>
    </xdr:to>
    <xdr:sp macro="" textlink="">
      <xdr:nvSpPr>
        <xdr:cNvPr id="48596" name="TextBox 48595">
          <a:extLst>
            <a:ext uri="{FF2B5EF4-FFF2-40B4-BE49-F238E27FC236}">
              <a16:creationId xmlns:a16="http://schemas.microsoft.com/office/drawing/2014/main" id="{453DEA38-3506-50AE-D58F-F5F547ED4A95}"/>
            </a:ext>
          </a:extLst>
        </xdr:cNvPr>
        <xdr:cNvSpPr txBox="1"/>
      </xdr:nvSpPr>
      <xdr:spPr>
        <a:xfrm>
          <a:off x="520700" y="356235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DIO.64.CLD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4</xdr:col>
      <xdr:colOff>225425</xdr:colOff>
      <xdr:row>29</xdr:row>
      <xdr:rowOff>155178</xdr:rowOff>
    </xdr:from>
    <xdr:to>
      <xdr:col>5</xdr:col>
      <xdr:colOff>583406</xdr:colOff>
      <xdr:row>33</xdr:row>
      <xdr:rowOff>10716</xdr:rowOff>
    </xdr:to>
    <xdr:sp macro="" textlink="">
      <xdr:nvSpPr>
        <xdr:cNvPr id="48597" name="Прямоугольник 48596">
          <a:extLst>
            <a:ext uri="{FF2B5EF4-FFF2-40B4-BE49-F238E27FC236}">
              <a16:creationId xmlns:a16="http://schemas.microsoft.com/office/drawing/2014/main" id="{03BE8B5C-620A-2FBE-07E4-27FEB02DA059}"/>
            </a:ext>
          </a:extLst>
        </xdr:cNvPr>
        <xdr:cNvSpPr/>
      </xdr:nvSpPr>
      <xdr:spPr>
        <a:xfrm>
          <a:off x="2654300" y="4816475"/>
          <a:ext cx="965200" cy="498475"/>
        </a:xfrm>
        <a:prstGeom prst="rect">
          <a:avLst/>
        </a:prstGeom>
        <a:solidFill>
          <a:srgbClr val="E377C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29</xdr:row>
      <xdr:rowOff>155178</xdr:rowOff>
    </xdr:from>
    <xdr:to>
      <xdr:col>5</xdr:col>
      <xdr:colOff>583406</xdr:colOff>
      <xdr:row>33</xdr:row>
      <xdr:rowOff>10716</xdr:rowOff>
    </xdr:to>
    <xdr:sp macro="" textlink="">
      <xdr:nvSpPr>
        <xdr:cNvPr id="48598" name="TextBox 48597">
          <a:extLst>
            <a:ext uri="{FF2B5EF4-FFF2-40B4-BE49-F238E27FC236}">
              <a16:creationId xmlns:a16="http://schemas.microsoft.com/office/drawing/2014/main" id="{7C420CF5-6648-1C86-6221-639B102DDBD5}"/>
            </a:ext>
          </a:extLst>
        </xdr:cNvPr>
        <xdr:cNvSpPr txBox="1"/>
      </xdr:nvSpPr>
      <xdr:spPr>
        <a:xfrm>
          <a:off x="2654300" y="4816475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DIO.64.CLD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9</xdr:col>
      <xdr:colOff>21431</xdr:colOff>
      <xdr:row>9</xdr:row>
      <xdr:rowOff>77391</xdr:rowOff>
    </xdr:from>
    <xdr:to>
      <xdr:col>10</xdr:col>
      <xdr:colOff>379412</xdr:colOff>
      <xdr:row>12</xdr:row>
      <xdr:rowOff>93662</xdr:rowOff>
    </xdr:to>
    <xdr:sp macro="" textlink="">
      <xdr:nvSpPr>
        <xdr:cNvPr id="48599" name="Прямоугольник 48598">
          <a:extLst>
            <a:ext uri="{FF2B5EF4-FFF2-40B4-BE49-F238E27FC236}">
              <a16:creationId xmlns:a16="http://schemas.microsoft.com/office/drawing/2014/main" id="{7B8AE9CF-0BC8-B9D6-570D-077C6FA29340}"/>
            </a:ext>
          </a:extLst>
        </xdr:cNvPr>
        <xdr:cNvSpPr/>
      </xdr:nvSpPr>
      <xdr:spPr>
        <a:xfrm>
          <a:off x="5486400" y="1524000"/>
          <a:ext cx="965200" cy="498475"/>
        </a:xfrm>
        <a:prstGeom prst="rect">
          <a:avLst/>
        </a:prstGeom>
        <a:solidFill>
          <a:srgbClr val="E377C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9</xdr:row>
      <xdr:rowOff>77391</xdr:rowOff>
    </xdr:from>
    <xdr:to>
      <xdr:col>10</xdr:col>
      <xdr:colOff>379412</xdr:colOff>
      <xdr:row>12</xdr:row>
      <xdr:rowOff>93662</xdr:rowOff>
    </xdr:to>
    <xdr:sp macro="" textlink="">
      <xdr:nvSpPr>
        <xdr:cNvPr id="48600" name="TextBox 48599">
          <a:extLst>
            <a:ext uri="{FF2B5EF4-FFF2-40B4-BE49-F238E27FC236}">
              <a16:creationId xmlns:a16="http://schemas.microsoft.com/office/drawing/2014/main" id="{2B4FFFA0-7A2B-0229-9F50-7669D97D4BA4}"/>
            </a:ext>
          </a:extLst>
        </xdr:cNvPr>
        <xdr:cNvSpPr txBox="1"/>
      </xdr:nvSpPr>
      <xdr:spPr>
        <a:xfrm>
          <a:off x="5486400" y="1524000"/>
          <a:ext cx="965200" cy="4984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DIO.64.CLD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520700</xdr:colOff>
      <xdr:row>13</xdr:row>
      <xdr:rowOff>145653</xdr:rowOff>
    </xdr:from>
    <xdr:to>
      <xdr:col>2</xdr:col>
      <xdr:colOff>271462</xdr:colOff>
      <xdr:row>16</xdr:row>
      <xdr:rowOff>12700</xdr:rowOff>
    </xdr:to>
    <xdr:sp macro="" textlink="">
      <xdr:nvSpPr>
        <xdr:cNvPr id="48601" name="Прямоугольник 48600">
          <a:extLst>
            <a:ext uri="{FF2B5EF4-FFF2-40B4-BE49-F238E27FC236}">
              <a16:creationId xmlns:a16="http://schemas.microsoft.com/office/drawing/2014/main" id="{5D9659EC-A228-63B1-E307-523FE3FDB362}"/>
            </a:ext>
          </a:extLst>
        </xdr:cNvPr>
        <xdr:cNvSpPr/>
      </xdr:nvSpPr>
      <xdr:spPr>
        <a:xfrm>
          <a:off x="520700" y="2235200"/>
          <a:ext cx="965200" cy="349250"/>
        </a:xfrm>
        <a:prstGeom prst="rect">
          <a:avLst/>
        </a:prstGeom>
        <a:solidFill>
          <a:srgbClr val="7F7F7F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13</xdr:row>
      <xdr:rowOff>145653</xdr:rowOff>
    </xdr:from>
    <xdr:to>
      <xdr:col>2</xdr:col>
      <xdr:colOff>271462</xdr:colOff>
      <xdr:row>16</xdr:row>
      <xdr:rowOff>12700</xdr:rowOff>
    </xdr:to>
    <xdr:sp macro="" textlink="">
      <xdr:nvSpPr>
        <xdr:cNvPr id="48602" name="TextBox 48601">
          <a:extLst>
            <a:ext uri="{FF2B5EF4-FFF2-40B4-BE49-F238E27FC236}">
              <a16:creationId xmlns:a16="http://schemas.microsoft.com/office/drawing/2014/main" id="{80DD69C5-6F8C-408E-3FEF-D8986771CB24}"/>
            </a:ext>
          </a:extLst>
        </xdr:cNvPr>
        <xdr:cNvSpPr txBox="1"/>
      </xdr:nvSpPr>
      <xdr:spPr>
        <a:xfrm>
          <a:off x="520700" y="223520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KDI.8AC220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373062</xdr:colOff>
      <xdr:row>13</xdr:row>
      <xdr:rowOff>145653</xdr:rowOff>
    </xdr:from>
    <xdr:to>
      <xdr:col>4</xdr:col>
      <xdr:colOff>123825</xdr:colOff>
      <xdr:row>16</xdr:row>
      <xdr:rowOff>12700</xdr:rowOff>
    </xdr:to>
    <xdr:sp macro="" textlink="">
      <xdr:nvSpPr>
        <xdr:cNvPr id="48603" name="Прямоугольник 48602">
          <a:extLst>
            <a:ext uri="{FF2B5EF4-FFF2-40B4-BE49-F238E27FC236}">
              <a16:creationId xmlns:a16="http://schemas.microsoft.com/office/drawing/2014/main" id="{DEEE9F60-76BD-51FE-0553-57DB05D35462}"/>
            </a:ext>
          </a:extLst>
        </xdr:cNvPr>
        <xdr:cNvSpPr/>
      </xdr:nvSpPr>
      <xdr:spPr>
        <a:xfrm>
          <a:off x="1587500" y="2235200"/>
          <a:ext cx="965200" cy="349250"/>
        </a:xfrm>
        <a:prstGeom prst="rect">
          <a:avLst/>
        </a:prstGeom>
        <a:solidFill>
          <a:srgbClr val="7F7F7F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13</xdr:row>
      <xdr:rowOff>145653</xdr:rowOff>
    </xdr:from>
    <xdr:to>
      <xdr:col>4</xdr:col>
      <xdr:colOff>123825</xdr:colOff>
      <xdr:row>16</xdr:row>
      <xdr:rowOff>12700</xdr:rowOff>
    </xdr:to>
    <xdr:sp macro="" textlink="">
      <xdr:nvSpPr>
        <xdr:cNvPr id="48604" name="TextBox 48603">
          <a:extLst>
            <a:ext uri="{FF2B5EF4-FFF2-40B4-BE49-F238E27FC236}">
              <a16:creationId xmlns:a16="http://schemas.microsoft.com/office/drawing/2014/main" id="{4906ABBB-15C9-2AD5-97CE-9B2606A11AA0}"/>
            </a:ext>
          </a:extLst>
        </xdr:cNvPr>
        <xdr:cNvSpPr txBox="1"/>
      </xdr:nvSpPr>
      <xdr:spPr>
        <a:xfrm>
          <a:off x="1587500" y="223520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KDI.8AC220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225425</xdr:colOff>
      <xdr:row>13</xdr:row>
      <xdr:rowOff>145653</xdr:rowOff>
    </xdr:from>
    <xdr:to>
      <xdr:col>5</xdr:col>
      <xdr:colOff>583406</xdr:colOff>
      <xdr:row>16</xdr:row>
      <xdr:rowOff>12700</xdr:rowOff>
    </xdr:to>
    <xdr:sp macro="" textlink="">
      <xdr:nvSpPr>
        <xdr:cNvPr id="48605" name="Прямоугольник 48604">
          <a:extLst>
            <a:ext uri="{FF2B5EF4-FFF2-40B4-BE49-F238E27FC236}">
              <a16:creationId xmlns:a16="http://schemas.microsoft.com/office/drawing/2014/main" id="{B2CBF5CD-8BC1-D79E-B395-84C0F4DB1B15}"/>
            </a:ext>
          </a:extLst>
        </xdr:cNvPr>
        <xdr:cNvSpPr/>
      </xdr:nvSpPr>
      <xdr:spPr>
        <a:xfrm>
          <a:off x="2654300" y="2235200"/>
          <a:ext cx="965200" cy="349250"/>
        </a:xfrm>
        <a:prstGeom prst="rect">
          <a:avLst/>
        </a:prstGeom>
        <a:solidFill>
          <a:srgbClr val="7F7F7F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13</xdr:row>
      <xdr:rowOff>145653</xdr:rowOff>
    </xdr:from>
    <xdr:to>
      <xdr:col>5</xdr:col>
      <xdr:colOff>583406</xdr:colOff>
      <xdr:row>16</xdr:row>
      <xdr:rowOff>12700</xdr:rowOff>
    </xdr:to>
    <xdr:sp macro="" textlink="">
      <xdr:nvSpPr>
        <xdr:cNvPr id="48606" name="TextBox 48605">
          <a:extLst>
            <a:ext uri="{FF2B5EF4-FFF2-40B4-BE49-F238E27FC236}">
              <a16:creationId xmlns:a16="http://schemas.microsoft.com/office/drawing/2014/main" id="{3E24E581-BD74-3E5C-19C9-F2E10BC6D3D9}"/>
            </a:ext>
          </a:extLst>
        </xdr:cNvPr>
        <xdr:cNvSpPr txBox="1"/>
      </xdr:nvSpPr>
      <xdr:spPr>
        <a:xfrm>
          <a:off x="2654300" y="223520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FFFFFF"/>
              </a:solidFill>
            </a:rPr>
            <a:t>KDI.8AC220</a:t>
          </a:r>
          <a:endParaRPr lang="ru-RU" sz="600" b="0">
            <a:solidFill>
              <a:srgbClr val="FFFFFF"/>
            </a:solidFill>
          </a:endParaRPr>
        </a:p>
      </xdr:txBody>
    </xdr:sp>
    <xdr:clientData/>
  </xdr:twoCellAnchor>
  <xdr:twoCellAnchor>
    <xdr:from>
      <xdr:col>6</xdr:col>
      <xdr:colOff>77787</xdr:colOff>
      <xdr:row>13</xdr:row>
      <xdr:rowOff>145653</xdr:rowOff>
    </xdr:from>
    <xdr:to>
      <xdr:col>7</xdr:col>
      <xdr:colOff>435769</xdr:colOff>
      <xdr:row>16</xdr:row>
      <xdr:rowOff>12700</xdr:rowOff>
    </xdr:to>
    <xdr:sp macro="" textlink="">
      <xdr:nvSpPr>
        <xdr:cNvPr id="48607" name="Прямоугольник 48606">
          <a:extLst>
            <a:ext uri="{FF2B5EF4-FFF2-40B4-BE49-F238E27FC236}">
              <a16:creationId xmlns:a16="http://schemas.microsoft.com/office/drawing/2014/main" id="{9589B1D5-0218-1DDF-DCE8-F867F0C3525D}"/>
            </a:ext>
          </a:extLst>
        </xdr:cNvPr>
        <xdr:cNvSpPr/>
      </xdr:nvSpPr>
      <xdr:spPr>
        <a:xfrm>
          <a:off x="3721100" y="223520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13</xdr:row>
      <xdr:rowOff>145653</xdr:rowOff>
    </xdr:from>
    <xdr:to>
      <xdr:col>7</xdr:col>
      <xdr:colOff>435769</xdr:colOff>
      <xdr:row>16</xdr:row>
      <xdr:rowOff>12700</xdr:rowOff>
    </xdr:to>
    <xdr:sp macro="" textlink="">
      <xdr:nvSpPr>
        <xdr:cNvPr id="48608" name="TextBox 48607">
          <a:extLst>
            <a:ext uri="{FF2B5EF4-FFF2-40B4-BE49-F238E27FC236}">
              <a16:creationId xmlns:a16="http://schemas.microsoft.com/office/drawing/2014/main" id="{73DA3DD4-0330-FAA7-EC81-949EC825F21C}"/>
            </a:ext>
          </a:extLst>
        </xdr:cNvPr>
        <xdr:cNvSpPr txBox="1"/>
      </xdr:nvSpPr>
      <xdr:spPr>
        <a:xfrm>
          <a:off x="3721100" y="223520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373062</xdr:colOff>
      <xdr:row>22</xdr:row>
      <xdr:rowOff>26194</xdr:rowOff>
    </xdr:from>
    <xdr:to>
      <xdr:col>4</xdr:col>
      <xdr:colOff>123825</xdr:colOff>
      <xdr:row>24</xdr:row>
      <xdr:rowOff>53975</xdr:rowOff>
    </xdr:to>
    <xdr:sp macro="" textlink="">
      <xdr:nvSpPr>
        <xdr:cNvPr id="48609" name="Прямоугольник 48608">
          <a:extLst>
            <a:ext uri="{FF2B5EF4-FFF2-40B4-BE49-F238E27FC236}">
              <a16:creationId xmlns:a16="http://schemas.microsoft.com/office/drawing/2014/main" id="{598A5CA2-8616-00A4-E632-2B41145EE7B1}"/>
            </a:ext>
          </a:extLst>
        </xdr:cNvPr>
        <xdr:cNvSpPr/>
      </xdr:nvSpPr>
      <xdr:spPr>
        <a:xfrm>
          <a:off x="1587500" y="356235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22</xdr:row>
      <xdr:rowOff>26194</xdr:rowOff>
    </xdr:from>
    <xdr:to>
      <xdr:col>4</xdr:col>
      <xdr:colOff>123825</xdr:colOff>
      <xdr:row>24</xdr:row>
      <xdr:rowOff>53975</xdr:rowOff>
    </xdr:to>
    <xdr:sp macro="" textlink="">
      <xdr:nvSpPr>
        <xdr:cNvPr id="48610" name="TextBox 48609">
          <a:extLst>
            <a:ext uri="{FF2B5EF4-FFF2-40B4-BE49-F238E27FC236}">
              <a16:creationId xmlns:a16="http://schemas.microsoft.com/office/drawing/2014/main" id="{6E8594B4-B855-131E-8F1E-DD5A0704C081}"/>
            </a:ext>
          </a:extLst>
        </xdr:cNvPr>
        <xdr:cNvSpPr txBox="1"/>
      </xdr:nvSpPr>
      <xdr:spPr>
        <a:xfrm>
          <a:off x="1587500" y="356235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373062</xdr:colOff>
      <xdr:row>26</xdr:row>
      <xdr:rowOff>62706</xdr:rowOff>
    </xdr:from>
    <xdr:to>
      <xdr:col>4</xdr:col>
      <xdr:colOff>123825</xdr:colOff>
      <xdr:row>28</xdr:row>
      <xdr:rowOff>90487</xdr:rowOff>
    </xdr:to>
    <xdr:sp macro="" textlink="">
      <xdr:nvSpPr>
        <xdr:cNvPr id="48611" name="Прямоугольник 48610">
          <a:extLst>
            <a:ext uri="{FF2B5EF4-FFF2-40B4-BE49-F238E27FC236}">
              <a16:creationId xmlns:a16="http://schemas.microsoft.com/office/drawing/2014/main" id="{8B31CFA8-3828-1BF4-D2CE-BA3433877EF8}"/>
            </a:ext>
          </a:extLst>
        </xdr:cNvPr>
        <xdr:cNvSpPr/>
      </xdr:nvSpPr>
      <xdr:spPr>
        <a:xfrm>
          <a:off x="1587500" y="424180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26</xdr:row>
      <xdr:rowOff>62706</xdr:rowOff>
    </xdr:from>
    <xdr:to>
      <xdr:col>4</xdr:col>
      <xdr:colOff>123825</xdr:colOff>
      <xdr:row>28</xdr:row>
      <xdr:rowOff>90487</xdr:rowOff>
    </xdr:to>
    <xdr:sp macro="" textlink="">
      <xdr:nvSpPr>
        <xdr:cNvPr id="48612" name="TextBox 48611">
          <a:extLst>
            <a:ext uri="{FF2B5EF4-FFF2-40B4-BE49-F238E27FC236}">
              <a16:creationId xmlns:a16="http://schemas.microsoft.com/office/drawing/2014/main" id="{1D376426-5FFA-B831-193E-9A205E6F4D7C}"/>
            </a:ext>
          </a:extLst>
        </xdr:cNvPr>
        <xdr:cNvSpPr txBox="1"/>
      </xdr:nvSpPr>
      <xdr:spPr>
        <a:xfrm>
          <a:off x="1587500" y="424180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4</xdr:col>
      <xdr:colOff>225425</xdr:colOff>
      <xdr:row>21</xdr:row>
      <xdr:rowOff>63103</xdr:rowOff>
    </xdr:from>
    <xdr:to>
      <xdr:col>5</xdr:col>
      <xdr:colOff>583406</xdr:colOff>
      <xdr:row>23</xdr:row>
      <xdr:rowOff>90884</xdr:rowOff>
    </xdr:to>
    <xdr:sp macro="" textlink="">
      <xdr:nvSpPr>
        <xdr:cNvPr id="48613" name="Прямоугольник 48612">
          <a:extLst>
            <a:ext uri="{FF2B5EF4-FFF2-40B4-BE49-F238E27FC236}">
              <a16:creationId xmlns:a16="http://schemas.microsoft.com/office/drawing/2014/main" id="{50D70BBB-9256-E84A-BA6F-17E49D4408A3}"/>
            </a:ext>
          </a:extLst>
        </xdr:cNvPr>
        <xdr:cNvSpPr/>
      </xdr:nvSpPr>
      <xdr:spPr>
        <a:xfrm>
          <a:off x="2654300" y="3438525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21</xdr:row>
      <xdr:rowOff>63103</xdr:rowOff>
    </xdr:from>
    <xdr:to>
      <xdr:col>5</xdr:col>
      <xdr:colOff>583406</xdr:colOff>
      <xdr:row>23</xdr:row>
      <xdr:rowOff>90884</xdr:rowOff>
    </xdr:to>
    <xdr:sp macro="" textlink="">
      <xdr:nvSpPr>
        <xdr:cNvPr id="48614" name="TextBox 48613">
          <a:extLst>
            <a:ext uri="{FF2B5EF4-FFF2-40B4-BE49-F238E27FC236}">
              <a16:creationId xmlns:a16="http://schemas.microsoft.com/office/drawing/2014/main" id="{717482BD-F766-1477-11F0-084B33F08DD9}"/>
            </a:ext>
          </a:extLst>
        </xdr:cNvPr>
        <xdr:cNvSpPr txBox="1"/>
      </xdr:nvSpPr>
      <xdr:spPr>
        <a:xfrm>
          <a:off x="2654300" y="3438525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373062</xdr:colOff>
      <xdr:row>30</xdr:row>
      <xdr:rowOff>99219</xdr:rowOff>
    </xdr:from>
    <xdr:to>
      <xdr:col>4</xdr:col>
      <xdr:colOff>123825</xdr:colOff>
      <xdr:row>32</xdr:row>
      <xdr:rowOff>127000</xdr:rowOff>
    </xdr:to>
    <xdr:sp macro="" textlink="">
      <xdr:nvSpPr>
        <xdr:cNvPr id="48615" name="Прямоугольник 48614">
          <a:extLst>
            <a:ext uri="{FF2B5EF4-FFF2-40B4-BE49-F238E27FC236}">
              <a16:creationId xmlns:a16="http://schemas.microsoft.com/office/drawing/2014/main" id="{6017E711-070B-4BF0-B10E-0C473C43A47B}"/>
            </a:ext>
          </a:extLst>
        </xdr:cNvPr>
        <xdr:cNvSpPr/>
      </xdr:nvSpPr>
      <xdr:spPr>
        <a:xfrm>
          <a:off x="1587500" y="492125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30</xdr:row>
      <xdr:rowOff>99219</xdr:rowOff>
    </xdr:from>
    <xdr:to>
      <xdr:col>4</xdr:col>
      <xdr:colOff>123825</xdr:colOff>
      <xdr:row>32</xdr:row>
      <xdr:rowOff>127000</xdr:rowOff>
    </xdr:to>
    <xdr:sp macro="" textlink="">
      <xdr:nvSpPr>
        <xdr:cNvPr id="48616" name="TextBox 48615">
          <a:extLst>
            <a:ext uri="{FF2B5EF4-FFF2-40B4-BE49-F238E27FC236}">
              <a16:creationId xmlns:a16="http://schemas.microsoft.com/office/drawing/2014/main" id="{F34C38CE-8133-FD23-D778-6D1D88853A59}"/>
            </a:ext>
          </a:extLst>
        </xdr:cNvPr>
        <xdr:cNvSpPr txBox="1"/>
      </xdr:nvSpPr>
      <xdr:spPr>
        <a:xfrm>
          <a:off x="1587500" y="492125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520700</xdr:colOff>
      <xdr:row>25</xdr:row>
      <xdr:rowOff>42466</xdr:rowOff>
    </xdr:from>
    <xdr:to>
      <xdr:col>2</xdr:col>
      <xdr:colOff>271462</xdr:colOff>
      <xdr:row>27</xdr:row>
      <xdr:rowOff>70247</xdr:rowOff>
    </xdr:to>
    <xdr:sp macro="" textlink="">
      <xdr:nvSpPr>
        <xdr:cNvPr id="48617" name="Прямоугольник 48616">
          <a:extLst>
            <a:ext uri="{FF2B5EF4-FFF2-40B4-BE49-F238E27FC236}">
              <a16:creationId xmlns:a16="http://schemas.microsoft.com/office/drawing/2014/main" id="{0774FC80-6B29-DE53-7D5A-C2A4F71BA83E}"/>
            </a:ext>
          </a:extLst>
        </xdr:cNvPr>
        <xdr:cNvSpPr/>
      </xdr:nvSpPr>
      <xdr:spPr>
        <a:xfrm>
          <a:off x="520700" y="4060825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25</xdr:row>
      <xdr:rowOff>42466</xdr:rowOff>
    </xdr:from>
    <xdr:to>
      <xdr:col>2</xdr:col>
      <xdr:colOff>271462</xdr:colOff>
      <xdr:row>27</xdr:row>
      <xdr:rowOff>70247</xdr:rowOff>
    </xdr:to>
    <xdr:sp macro="" textlink="">
      <xdr:nvSpPr>
        <xdr:cNvPr id="48618" name="TextBox 48617">
          <a:extLst>
            <a:ext uri="{FF2B5EF4-FFF2-40B4-BE49-F238E27FC236}">
              <a16:creationId xmlns:a16="http://schemas.microsoft.com/office/drawing/2014/main" id="{15E6DF4D-27B8-8758-FCCC-9341EDBF3391}"/>
            </a:ext>
          </a:extLst>
        </xdr:cNvPr>
        <xdr:cNvSpPr txBox="1"/>
      </xdr:nvSpPr>
      <xdr:spPr>
        <a:xfrm>
          <a:off x="520700" y="4060825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520700</xdr:colOff>
      <xdr:row>31</xdr:row>
      <xdr:rowOff>11509</xdr:rowOff>
    </xdr:from>
    <xdr:to>
      <xdr:col>2</xdr:col>
      <xdr:colOff>271462</xdr:colOff>
      <xdr:row>33</xdr:row>
      <xdr:rowOff>39291</xdr:rowOff>
    </xdr:to>
    <xdr:sp macro="" textlink="">
      <xdr:nvSpPr>
        <xdr:cNvPr id="48619" name="Прямоугольник 48618">
          <a:extLst>
            <a:ext uri="{FF2B5EF4-FFF2-40B4-BE49-F238E27FC236}">
              <a16:creationId xmlns:a16="http://schemas.microsoft.com/office/drawing/2014/main" id="{2F2010B7-C24F-AD94-AEB1-FCE5B8846F49}"/>
            </a:ext>
          </a:extLst>
        </xdr:cNvPr>
        <xdr:cNvSpPr/>
      </xdr:nvSpPr>
      <xdr:spPr>
        <a:xfrm>
          <a:off x="520700" y="4994275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31</xdr:row>
      <xdr:rowOff>11509</xdr:rowOff>
    </xdr:from>
    <xdr:to>
      <xdr:col>2</xdr:col>
      <xdr:colOff>271462</xdr:colOff>
      <xdr:row>33</xdr:row>
      <xdr:rowOff>39291</xdr:rowOff>
    </xdr:to>
    <xdr:sp macro="" textlink="">
      <xdr:nvSpPr>
        <xdr:cNvPr id="48620" name="TextBox 48619">
          <a:extLst>
            <a:ext uri="{FF2B5EF4-FFF2-40B4-BE49-F238E27FC236}">
              <a16:creationId xmlns:a16="http://schemas.microsoft.com/office/drawing/2014/main" id="{DE610BA7-7A34-D3A5-4355-B5E4C70A234A}"/>
            </a:ext>
          </a:extLst>
        </xdr:cNvPr>
        <xdr:cNvSpPr txBox="1"/>
      </xdr:nvSpPr>
      <xdr:spPr>
        <a:xfrm>
          <a:off x="520700" y="4994275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4</xdr:col>
      <xdr:colOff>225425</xdr:colOff>
      <xdr:row>25</xdr:row>
      <xdr:rowOff>99616</xdr:rowOff>
    </xdr:from>
    <xdr:to>
      <xdr:col>5</xdr:col>
      <xdr:colOff>583406</xdr:colOff>
      <xdr:row>27</xdr:row>
      <xdr:rowOff>127397</xdr:rowOff>
    </xdr:to>
    <xdr:sp macro="" textlink="">
      <xdr:nvSpPr>
        <xdr:cNvPr id="48621" name="Прямоугольник 48620">
          <a:extLst>
            <a:ext uri="{FF2B5EF4-FFF2-40B4-BE49-F238E27FC236}">
              <a16:creationId xmlns:a16="http://schemas.microsoft.com/office/drawing/2014/main" id="{4F2A94BD-CCDC-DC68-208A-A8ADA2F6C50B}"/>
            </a:ext>
          </a:extLst>
        </xdr:cNvPr>
        <xdr:cNvSpPr/>
      </xdr:nvSpPr>
      <xdr:spPr>
        <a:xfrm>
          <a:off x="2654300" y="4117975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25</xdr:row>
      <xdr:rowOff>99616</xdr:rowOff>
    </xdr:from>
    <xdr:to>
      <xdr:col>5</xdr:col>
      <xdr:colOff>583406</xdr:colOff>
      <xdr:row>27</xdr:row>
      <xdr:rowOff>127397</xdr:rowOff>
    </xdr:to>
    <xdr:sp macro="" textlink="">
      <xdr:nvSpPr>
        <xdr:cNvPr id="48622" name="TextBox 48621">
          <a:extLst>
            <a:ext uri="{FF2B5EF4-FFF2-40B4-BE49-F238E27FC236}">
              <a16:creationId xmlns:a16="http://schemas.microsoft.com/office/drawing/2014/main" id="{A648F9C9-36B3-4884-66F3-57820B3390C1}"/>
            </a:ext>
          </a:extLst>
        </xdr:cNvPr>
        <xdr:cNvSpPr txBox="1"/>
      </xdr:nvSpPr>
      <xdr:spPr>
        <a:xfrm>
          <a:off x="2654300" y="4117975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4</xdr:col>
      <xdr:colOff>225425</xdr:colOff>
      <xdr:row>27</xdr:row>
      <xdr:rowOff>127397</xdr:rowOff>
    </xdr:from>
    <xdr:to>
      <xdr:col>5</xdr:col>
      <xdr:colOff>583406</xdr:colOff>
      <xdr:row>29</xdr:row>
      <xdr:rowOff>155178</xdr:rowOff>
    </xdr:to>
    <xdr:sp macro="" textlink="">
      <xdr:nvSpPr>
        <xdr:cNvPr id="48623" name="Прямоугольник 48622">
          <a:extLst>
            <a:ext uri="{FF2B5EF4-FFF2-40B4-BE49-F238E27FC236}">
              <a16:creationId xmlns:a16="http://schemas.microsoft.com/office/drawing/2014/main" id="{62534D67-EAE7-C8C7-FD54-8D3086CFF6DA}"/>
            </a:ext>
          </a:extLst>
        </xdr:cNvPr>
        <xdr:cNvSpPr/>
      </xdr:nvSpPr>
      <xdr:spPr>
        <a:xfrm>
          <a:off x="2654300" y="4467225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27</xdr:row>
      <xdr:rowOff>127397</xdr:rowOff>
    </xdr:from>
    <xdr:to>
      <xdr:col>5</xdr:col>
      <xdr:colOff>583406</xdr:colOff>
      <xdr:row>29</xdr:row>
      <xdr:rowOff>155178</xdr:rowOff>
    </xdr:to>
    <xdr:sp macro="" textlink="">
      <xdr:nvSpPr>
        <xdr:cNvPr id="48624" name="TextBox 48623">
          <a:extLst>
            <a:ext uri="{FF2B5EF4-FFF2-40B4-BE49-F238E27FC236}">
              <a16:creationId xmlns:a16="http://schemas.microsoft.com/office/drawing/2014/main" id="{3F23A6E8-8E92-B3A5-F8F0-AD59E68D118E}"/>
            </a:ext>
          </a:extLst>
        </xdr:cNvPr>
        <xdr:cNvSpPr txBox="1"/>
      </xdr:nvSpPr>
      <xdr:spPr>
        <a:xfrm>
          <a:off x="2654300" y="4467225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4</xdr:col>
      <xdr:colOff>225425</xdr:colOff>
      <xdr:row>33</xdr:row>
      <xdr:rowOff>10716</xdr:rowOff>
    </xdr:from>
    <xdr:to>
      <xdr:col>5</xdr:col>
      <xdr:colOff>583406</xdr:colOff>
      <xdr:row>35</xdr:row>
      <xdr:rowOff>38497</xdr:rowOff>
    </xdr:to>
    <xdr:sp macro="" textlink="">
      <xdr:nvSpPr>
        <xdr:cNvPr id="48625" name="Прямоугольник 48624">
          <a:extLst>
            <a:ext uri="{FF2B5EF4-FFF2-40B4-BE49-F238E27FC236}">
              <a16:creationId xmlns:a16="http://schemas.microsoft.com/office/drawing/2014/main" id="{150A656F-ABDE-F298-BAB6-34E9E0ABE29A}"/>
            </a:ext>
          </a:extLst>
        </xdr:cNvPr>
        <xdr:cNvSpPr/>
      </xdr:nvSpPr>
      <xdr:spPr>
        <a:xfrm>
          <a:off x="2654300" y="531495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33</xdr:row>
      <xdr:rowOff>10716</xdr:rowOff>
    </xdr:from>
    <xdr:to>
      <xdr:col>5</xdr:col>
      <xdr:colOff>583406</xdr:colOff>
      <xdr:row>35</xdr:row>
      <xdr:rowOff>38497</xdr:rowOff>
    </xdr:to>
    <xdr:sp macro="" textlink="">
      <xdr:nvSpPr>
        <xdr:cNvPr id="48626" name="TextBox 48625">
          <a:extLst>
            <a:ext uri="{FF2B5EF4-FFF2-40B4-BE49-F238E27FC236}">
              <a16:creationId xmlns:a16="http://schemas.microsoft.com/office/drawing/2014/main" id="{55A6AAFA-A42F-B817-B5B7-A6B0BDE6C701}"/>
            </a:ext>
          </a:extLst>
        </xdr:cNvPr>
        <xdr:cNvSpPr txBox="1"/>
      </xdr:nvSpPr>
      <xdr:spPr>
        <a:xfrm>
          <a:off x="2654300" y="531495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4</xdr:col>
      <xdr:colOff>225425</xdr:colOff>
      <xdr:row>35</xdr:row>
      <xdr:rowOff>38497</xdr:rowOff>
    </xdr:from>
    <xdr:to>
      <xdr:col>5</xdr:col>
      <xdr:colOff>583406</xdr:colOff>
      <xdr:row>37</xdr:row>
      <xdr:rowOff>66278</xdr:rowOff>
    </xdr:to>
    <xdr:sp macro="" textlink="">
      <xdr:nvSpPr>
        <xdr:cNvPr id="48627" name="Прямоугольник 48626">
          <a:extLst>
            <a:ext uri="{FF2B5EF4-FFF2-40B4-BE49-F238E27FC236}">
              <a16:creationId xmlns:a16="http://schemas.microsoft.com/office/drawing/2014/main" id="{5F5B845B-D0E8-BFD8-48B2-430A5318121F}"/>
            </a:ext>
          </a:extLst>
        </xdr:cNvPr>
        <xdr:cNvSpPr/>
      </xdr:nvSpPr>
      <xdr:spPr>
        <a:xfrm>
          <a:off x="2654300" y="566420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35</xdr:row>
      <xdr:rowOff>38497</xdr:rowOff>
    </xdr:from>
    <xdr:to>
      <xdr:col>5</xdr:col>
      <xdr:colOff>583406</xdr:colOff>
      <xdr:row>37</xdr:row>
      <xdr:rowOff>66278</xdr:rowOff>
    </xdr:to>
    <xdr:sp macro="" textlink="">
      <xdr:nvSpPr>
        <xdr:cNvPr id="48628" name="TextBox 48627">
          <a:extLst>
            <a:ext uri="{FF2B5EF4-FFF2-40B4-BE49-F238E27FC236}">
              <a16:creationId xmlns:a16="http://schemas.microsoft.com/office/drawing/2014/main" id="{65B72E41-F88D-B0F2-86EB-32AF2DE8701A}"/>
            </a:ext>
          </a:extLst>
        </xdr:cNvPr>
        <xdr:cNvSpPr txBox="1"/>
      </xdr:nvSpPr>
      <xdr:spPr>
        <a:xfrm>
          <a:off x="2654300" y="566420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77787</xdr:colOff>
      <xdr:row>20</xdr:row>
      <xdr:rowOff>17462</xdr:rowOff>
    </xdr:from>
    <xdr:to>
      <xdr:col>7</xdr:col>
      <xdr:colOff>435769</xdr:colOff>
      <xdr:row>22</xdr:row>
      <xdr:rowOff>45244</xdr:rowOff>
    </xdr:to>
    <xdr:sp macro="" textlink="">
      <xdr:nvSpPr>
        <xdr:cNvPr id="48629" name="Прямоугольник 48628">
          <a:extLst>
            <a:ext uri="{FF2B5EF4-FFF2-40B4-BE49-F238E27FC236}">
              <a16:creationId xmlns:a16="http://schemas.microsoft.com/office/drawing/2014/main" id="{D5B53F9F-91C6-921B-EBE9-7447B203C5EB}"/>
            </a:ext>
          </a:extLst>
        </xdr:cNvPr>
        <xdr:cNvSpPr/>
      </xdr:nvSpPr>
      <xdr:spPr>
        <a:xfrm>
          <a:off x="3721100" y="323215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20</xdr:row>
      <xdr:rowOff>17462</xdr:rowOff>
    </xdr:from>
    <xdr:to>
      <xdr:col>7</xdr:col>
      <xdr:colOff>435769</xdr:colOff>
      <xdr:row>22</xdr:row>
      <xdr:rowOff>45244</xdr:rowOff>
    </xdr:to>
    <xdr:sp macro="" textlink="">
      <xdr:nvSpPr>
        <xdr:cNvPr id="48630" name="TextBox 48629">
          <a:extLst>
            <a:ext uri="{FF2B5EF4-FFF2-40B4-BE49-F238E27FC236}">
              <a16:creationId xmlns:a16="http://schemas.microsoft.com/office/drawing/2014/main" id="{50D4BF66-DB1A-DE87-8A6A-78CC78E1E2D5}"/>
            </a:ext>
          </a:extLst>
        </xdr:cNvPr>
        <xdr:cNvSpPr txBox="1"/>
      </xdr:nvSpPr>
      <xdr:spPr>
        <a:xfrm>
          <a:off x="3721100" y="323215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77787</xdr:colOff>
      <xdr:row>22</xdr:row>
      <xdr:rowOff>45244</xdr:rowOff>
    </xdr:from>
    <xdr:to>
      <xdr:col>7</xdr:col>
      <xdr:colOff>435769</xdr:colOff>
      <xdr:row>24</xdr:row>
      <xdr:rowOff>73025</xdr:rowOff>
    </xdr:to>
    <xdr:sp macro="" textlink="">
      <xdr:nvSpPr>
        <xdr:cNvPr id="48631" name="Прямоугольник 48630">
          <a:extLst>
            <a:ext uri="{FF2B5EF4-FFF2-40B4-BE49-F238E27FC236}">
              <a16:creationId xmlns:a16="http://schemas.microsoft.com/office/drawing/2014/main" id="{062399F2-5881-8AB2-639E-9E0E0B160DD6}"/>
            </a:ext>
          </a:extLst>
        </xdr:cNvPr>
        <xdr:cNvSpPr/>
      </xdr:nvSpPr>
      <xdr:spPr>
        <a:xfrm>
          <a:off x="3721100" y="358140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22</xdr:row>
      <xdr:rowOff>45244</xdr:rowOff>
    </xdr:from>
    <xdr:to>
      <xdr:col>7</xdr:col>
      <xdr:colOff>435769</xdr:colOff>
      <xdr:row>24</xdr:row>
      <xdr:rowOff>73025</xdr:rowOff>
    </xdr:to>
    <xdr:sp macro="" textlink="">
      <xdr:nvSpPr>
        <xdr:cNvPr id="48632" name="TextBox 48631">
          <a:extLst>
            <a:ext uri="{FF2B5EF4-FFF2-40B4-BE49-F238E27FC236}">
              <a16:creationId xmlns:a16="http://schemas.microsoft.com/office/drawing/2014/main" id="{E5E9C0F7-43C8-C8B0-8AB4-F63D87C27980}"/>
            </a:ext>
          </a:extLst>
        </xdr:cNvPr>
        <xdr:cNvSpPr txBox="1"/>
      </xdr:nvSpPr>
      <xdr:spPr>
        <a:xfrm>
          <a:off x="3721100" y="358140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77787</xdr:colOff>
      <xdr:row>24</xdr:row>
      <xdr:rowOff>73025</xdr:rowOff>
    </xdr:from>
    <xdr:to>
      <xdr:col>7</xdr:col>
      <xdr:colOff>435769</xdr:colOff>
      <xdr:row>26</xdr:row>
      <xdr:rowOff>100806</xdr:rowOff>
    </xdr:to>
    <xdr:sp macro="" textlink="">
      <xdr:nvSpPr>
        <xdr:cNvPr id="48633" name="Прямоугольник 48632">
          <a:extLst>
            <a:ext uri="{FF2B5EF4-FFF2-40B4-BE49-F238E27FC236}">
              <a16:creationId xmlns:a16="http://schemas.microsoft.com/office/drawing/2014/main" id="{3912F82F-F001-5DB5-07B0-7E491BE8FDCA}"/>
            </a:ext>
          </a:extLst>
        </xdr:cNvPr>
        <xdr:cNvSpPr/>
      </xdr:nvSpPr>
      <xdr:spPr>
        <a:xfrm>
          <a:off x="3721100" y="393065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24</xdr:row>
      <xdr:rowOff>73025</xdr:rowOff>
    </xdr:from>
    <xdr:to>
      <xdr:col>7</xdr:col>
      <xdr:colOff>435769</xdr:colOff>
      <xdr:row>26</xdr:row>
      <xdr:rowOff>100806</xdr:rowOff>
    </xdr:to>
    <xdr:sp macro="" textlink="">
      <xdr:nvSpPr>
        <xdr:cNvPr id="48634" name="TextBox 48633">
          <a:extLst>
            <a:ext uri="{FF2B5EF4-FFF2-40B4-BE49-F238E27FC236}">
              <a16:creationId xmlns:a16="http://schemas.microsoft.com/office/drawing/2014/main" id="{A81BEDC0-5E89-1F6A-DBA8-8CDE1CB8EA8A}"/>
            </a:ext>
          </a:extLst>
        </xdr:cNvPr>
        <xdr:cNvSpPr txBox="1"/>
      </xdr:nvSpPr>
      <xdr:spPr>
        <a:xfrm>
          <a:off x="3721100" y="393065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77787</xdr:colOff>
      <xdr:row>26</xdr:row>
      <xdr:rowOff>100806</xdr:rowOff>
    </xdr:from>
    <xdr:to>
      <xdr:col>7</xdr:col>
      <xdr:colOff>435769</xdr:colOff>
      <xdr:row>28</xdr:row>
      <xdr:rowOff>128587</xdr:rowOff>
    </xdr:to>
    <xdr:sp macro="" textlink="">
      <xdr:nvSpPr>
        <xdr:cNvPr id="48635" name="Прямоугольник 48634">
          <a:extLst>
            <a:ext uri="{FF2B5EF4-FFF2-40B4-BE49-F238E27FC236}">
              <a16:creationId xmlns:a16="http://schemas.microsoft.com/office/drawing/2014/main" id="{D44AC975-6BA3-2455-AC69-871E090A385F}"/>
            </a:ext>
          </a:extLst>
        </xdr:cNvPr>
        <xdr:cNvSpPr/>
      </xdr:nvSpPr>
      <xdr:spPr>
        <a:xfrm>
          <a:off x="3721100" y="4279900"/>
          <a:ext cx="965200" cy="349250"/>
        </a:xfrm>
        <a:prstGeom prst="rect">
          <a:avLst/>
        </a:prstGeom>
        <a:solidFill>
          <a:srgbClr val="BCBD2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26</xdr:row>
      <xdr:rowOff>100806</xdr:rowOff>
    </xdr:from>
    <xdr:to>
      <xdr:col>7</xdr:col>
      <xdr:colOff>435769</xdr:colOff>
      <xdr:row>28</xdr:row>
      <xdr:rowOff>128587</xdr:rowOff>
    </xdr:to>
    <xdr:sp macro="" textlink="">
      <xdr:nvSpPr>
        <xdr:cNvPr id="48636" name="TextBox 48635">
          <a:extLst>
            <a:ext uri="{FF2B5EF4-FFF2-40B4-BE49-F238E27FC236}">
              <a16:creationId xmlns:a16="http://schemas.microsoft.com/office/drawing/2014/main" id="{F2BD4929-AA76-D511-C833-33A7A82CBE53}"/>
            </a:ext>
          </a:extLst>
        </xdr:cNvPr>
        <xdr:cNvSpPr txBox="1"/>
      </xdr:nvSpPr>
      <xdr:spPr>
        <a:xfrm>
          <a:off x="3721100" y="4279900"/>
          <a:ext cx="965200" cy="3492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KDI.8DC24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520700</xdr:colOff>
      <xdr:row>18</xdr:row>
      <xdr:rowOff>21431</xdr:rowOff>
    </xdr:from>
    <xdr:to>
      <xdr:col>2</xdr:col>
      <xdr:colOff>271462</xdr:colOff>
      <xdr:row>20</xdr:row>
      <xdr:rowOff>17462</xdr:rowOff>
    </xdr:to>
    <xdr:sp macro="" textlink="">
      <xdr:nvSpPr>
        <xdr:cNvPr id="48637" name="Прямоугольник 48636">
          <a:extLst>
            <a:ext uri="{FF2B5EF4-FFF2-40B4-BE49-F238E27FC236}">
              <a16:creationId xmlns:a16="http://schemas.microsoft.com/office/drawing/2014/main" id="{41F63702-8433-B6C4-C420-B3FDCAD8A704}"/>
            </a:ext>
          </a:extLst>
        </xdr:cNvPr>
        <xdr:cNvSpPr/>
      </xdr:nvSpPr>
      <xdr:spPr>
        <a:xfrm>
          <a:off x="520700" y="2914650"/>
          <a:ext cx="965200" cy="317500"/>
        </a:xfrm>
        <a:prstGeom prst="rect">
          <a:avLst/>
        </a:prstGeom>
        <a:solidFill>
          <a:srgbClr val="17BECF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18</xdr:row>
      <xdr:rowOff>21431</xdr:rowOff>
    </xdr:from>
    <xdr:to>
      <xdr:col>2</xdr:col>
      <xdr:colOff>271462</xdr:colOff>
      <xdr:row>20</xdr:row>
      <xdr:rowOff>17462</xdr:rowOff>
    </xdr:to>
    <xdr:sp macro="" textlink="">
      <xdr:nvSpPr>
        <xdr:cNvPr id="48896" name="TextBox 48895">
          <a:extLst>
            <a:ext uri="{FF2B5EF4-FFF2-40B4-BE49-F238E27FC236}">
              <a16:creationId xmlns:a16="http://schemas.microsoft.com/office/drawing/2014/main" id="{C30B1F00-D0A3-4B84-4958-F978D56CF64D}"/>
            </a:ext>
          </a:extLst>
        </xdr:cNvPr>
        <xdr:cNvSpPr txBox="1"/>
      </xdr:nvSpPr>
      <xdr:spPr>
        <a:xfrm>
          <a:off x="520700" y="2914650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373062</xdr:colOff>
      <xdr:row>18</xdr:row>
      <xdr:rowOff>21431</xdr:rowOff>
    </xdr:from>
    <xdr:to>
      <xdr:col>4</xdr:col>
      <xdr:colOff>123825</xdr:colOff>
      <xdr:row>20</xdr:row>
      <xdr:rowOff>17462</xdr:rowOff>
    </xdr:to>
    <xdr:sp macro="" textlink="">
      <xdr:nvSpPr>
        <xdr:cNvPr id="48897" name="Прямоугольник 48896">
          <a:extLst>
            <a:ext uri="{FF2B5EF4-FFF2-40B4-BE49-F238E27FC236}">
              <a16:creationId xmlns:a16="http://schemas.microsoft.com/office/drawing/2014/main" id="{140E22F5-E792-FCE6-10C6-1DF8B752C4E4}"/>
            </a:ext>
          </a:extLst>
        </xdr:cNvPr>
        <xdr:cNvSpPr/>
      </xdr:nvSpPr>
      <xdr:spPr>
        <a:xfrm>
          <a:off x="1587500" y="2914650"/>
          <a:ext cx="965200" cy="317500"/>
        </a:xfrm>
        <a:prstGeom prst="rect">
          <a:avLst/>
        </a:prstGeom>
        <a:solidFill>
          <a:srgbClr val="17BECF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18</xdr:row>
      <xdr:rowOff>21431</xdr:rowOff>
    </xdr:from>
    <xdr:to>
      <xdr:col>4</xdr:col>
      <xdr:colOff>123825</xdr:colOff>
      <xdr:row>20</xdr:row>
      <xdr:rowOff>17462</xdr:rowOff>
    </xdr:to>
    <xdr:sp macro="" textlink="">
      <xdr:nvSpPr>
        <xdr:cNvPr id="48898" name="TextBox 48897">
          <a:extLst>
            <a:ext uri="{FF2B5EF4-FFF2-40B4-BE49-F238E27FC236}">
              <a16:creationId xmlns:a16="http://schemas.microsoft.com/office/drawing/2014/main" id="{2560B4EF-5221-A8FE-7C91-3B45231B2A19}"/>
            </a:ext>
          </a:extLst>
        </xdr:cNvPr>
        <xdr:cNvSpPr txBox="1"/>
      </xdr:nvSpPr>
      <xdr:spPr>
        <a:xfrm>
          <a:off x="1587500" y="2914650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4</xdr:col>
      <xdr:colOff>225425</xdr:colOff>
      <xdr:row>18</xdr:row>
      <xdr:rowOff>21431</xdr:rowOff>
    </xdr:from>
    <xdr:to>
      <xdr:col>5</xdr:col>
      <xdr:colOff>583406</xdr:colOff>
      <xdr:row>20</xdr:row>
      <xdr:rowOff>17462</xdr:rowOff>
    </xdr:to>
    <xdr:sp macro="" textlink="">
      <xdr:nvSpPr>
        <xdr:cNvPr id="48899" name="Прямоугольник 48898">
          <a:extLst>
            <a:ext uri="{FF2B5EF4-FFF2-40B4-BE49-F238E27FC236}">
              <a16:creationId xmlns:a16="http://schemas.microsoft.com/office/drawing/2014/main" id="{B54B4A1B-ECC9-8B20-16F7-2F31A7C8B512}"/>
            </a:ext>
          </a:extLst>
        </xdr:cNvPr>
        <xdr:cNvSpPr/>
      </xdr:nvSpPr>
      <xdr:spPr>
        <a:xfrm>
          <a:off x="2654300" y="2914650"/>
          <a:ext cx="965200" cy="317500"/>
        </a:xfrm>
        <a:prstGeom prst="rect">
          <a:avLst/>
        </a:prstGeom>
        <a:solidFill>
          <a:srgbClr val="17BECF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18</xdr:row>
      <xdr:rowOff>21431</xdr:rowOff>
    </xdr:from>
    <xdr:to>
      <xdr:col>5</xdr:col>
      <xdr:colOff>583406</xdr:colOff>
      <xdr:row>20</xdr:row>
      <xdr:rowOff>17462</xdr:rowOff>
    </xdr:to>
    <xdr:sp macro="" textlink="">
      <xdr:nvSpPr>
        <xdr:cNvPr id="48900" name="TextBox 48899">
          <a:extLst>
            <a:ext uri="{FF2B5EF4-FFF2-40B4-BE49-F238E27FC236}">
              <a16:creationId xmlns:a16="http://schemas.microsoft.com/office/drawing/2014/main" id="{12F756FA-4D63-DB8C-142C-0AC222D63839}"/>
            </a:ext>
          </a:extLst>
        </xdr:cNvPr>
        <xdr:cNvSpPr txBox="1"/>
      </xdr:nvSpPr>
      <xdr:spPr>
        <a:xfrm>
          <a:off x="2654300" y="2914650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77787</xdr:colOff>
      <xdr:row>18</xdr:row>
      <xdr:rowOff>21431</xdr:rowOff>
    </xdr:from>
    <xdr:to>
      <xdr:col>7</xdr:col>
      <xdr:colOff>435769</xdr:colOff>
      <xdr:row>20</xdr:row>
      <xdr:rowOff>17462</xdr:rowOff>
    </xdr:to>
    <xdr:sp macro="" textlink="">
      <xdr:nvSpPr>
        <xdr:cNvPr id="48901" name="Прямоугольник 48900">
          <a:extLst>
            <a:ext uri="{FF2B5EF4-FFF2-40B4-BE49-F238E27FC236}">
              <a16:creationId xmlns:a16="http://schemas.microsoft.com/office/drawing/2014/main" id="{DBADEE42-9D4E-4576-789C-B3CC8B3B5011}"/>
            </a:ext>
          </a:extLst>
        </xdr:cNvPr>
        <xdr:cNvSpPr/>
      </xdr:nvSpPr>
      <xdr:spPr>
        <a:xfrm>
          <a:off x="3721100" y="2914650"/>
          <a:ext cx="965200" cy="317500"/>
        </a:xfrm>
        <a:prstGeom prst="rect">
          <a:avLst/>
        </a:prstGeom>
        <a:solidFill>
          <a:srgbClr val="AEC7E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18</xdr:row>
      <xdr:rowOff>21431</xdr:rowOff>
    </xdr:from>
    <xdr:to>
      <xdr:col>7</xdr:col>
      <xdr:colOff>435769</xdr:colOff>
      <xdr:row>20</xdr:row>
      <xdr:rowOff>17462</xdr:rowOff>
    </xdr:to>
    <xdr:sp macro="" textlink="">
      <xdr:nvSpPr>
        <xdr:cNvPr id="48902" name="TextBox 48901">
          <a:extLst>
            <a:ext uri="{FF2B5EF4-FFF2-40B4-BE49-F238E27FC236}">
              <a16:creationId xmlns:a16="http://schemas.microsoft.com/office/drawing/2014/main" id="{A48906D8-1F5A-23C9-48E8-D85258981205}"/>
            </a:ext>
          </a:extLst>
        </xdr:cNvPr>
        <xdr:cNvSpPr txBox="1"/>
      </xdr:nvSpPr>
      <xdr:spPr>
        <a:xfrm>
          <a:off x="3721100" y="2914650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KDO.8SR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77787</xdr:colOff>
      <xdr:row>28</xdr:row>
      <xdr:rowOff>128587</xdr:rowOff>
    </xdr:from>
    <xdr:to>
      <xdr:col>7</xdr:col>
      <xdr:colOff>435769</xdr:colOff>
      <xdr:row>30</xdr:row>
      <xdr:rowOff>124619</xdr:rowOff>
    </xdr:to>
    <xdr:sp macro="" textlink="">
      <xdr:nvSpPr>
        <xdr:cNvPr id="48903" name="Прямоугольник 48902">
          <a:extLst>
            <a:ext uri="{FF2B5EF4-FFF2-40B4-BE49-F238E27FC236}">
              <a16:creationId xmlns:a16="http://schemas.microsoft.com/office/drawing/2014/main" id="{175130CC-8D22-EF8E-C7D8-C18987B59090}"/>
            </a:ext>
          </a:extLst>
        </xdr:cNvPr>
        <xdr:cNvSpPr/>
      </xdr:nvSpPr>
      <xdr:spPr>
        <a:xfrm>
          <a:off x="3721100" y="4629150"/>
          <a:ext cx="965200" cy="317500"/>
        </a:xfrm>
        <a:prstGeom prst="rect">
          <a:avLst/>
        </a:prstGeom>
        <a:solidFill>
          <a:srgbClr val="AEC7E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28</xdr:row>
      <xdr:rowOff>128587</xdr:rowOff>
    </xdr:from>
    <xdr:to>
      <xdr:col>7</xdr:col>
      <xdr:colOff>435769</xdr:colOff>
      <xdr:row>30</xdr:row>
      <xdr:rowOff>124619</xdr:rowOff>
    </xdr:to>
    <xdr:sp macro="" textlink="">
      <xdr:nvSpPr>
        <xdr:cNvPr id="48904" name="TextBox 48903">
          <a:extLst>
            <a:ext uri="{FF2B5EF4-FFF2-40B4-BE49-F238E27FC236}">
              <a16:creationId xmlns:a16="http://schemas.microsoft.com/office/drawing/2014/main" id="{47FCC9C1-DC80-1AB4-08A1-4EE7A160D82A}"/>
            </a:ext>
          </a:extLst>
        </xdr:cNvPr>
        <xdr:cNvSpPr txBox="1"/>
      </xdr:nvSpPr>
      <xdr:spPr>
        <a:xfrm>
          <a:off x="3721100" y="4629150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KDO.8SR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77787</xdr:colOff>
      <xdr:row>30</xdr:row>
      <xdr:rowOff>124619</xdr:rowOff>
    </xdr:from>
    <xdr:to>
      <xdr:col>7</xdr:col>
      <xdr:colOff>435769</xdr:colOff>
      <xdr:row>32</xdr:row>
      <xdr:rowOff>120650</xdr:rowOff>
    </xdr:to>
    <xdr:sp macro="" textlink="">
      <xdr:nvSpPr>
        <xdr:cNvPr id="48905" name="Прямоугольник 48904">
          <a:extLst>
            <a:ext uri="{FF2B5EF4-FFF2-40B4-BE49-F238E27FC236}">
              <a16:creationId xmlns:a16="http://schemas.microsoft.com/office/drawing/2014/main" id="{918BEC26-B8C3-17FC-B8F4-0DE4FB2EAA07}"/>
            </a:ext>
          </a:extLst>
        </xdr:cNvPr>
        <xdr:cNvSpPr/>
      </xdr:nvSpPr>
      <xdr:spPr>
        <a:xfrm>
          <a:off x="3721100" y="4946650"/>
          <a:ext cx="965200" cy="317500"/>
        </a:xfrm>
        <a:prstGeom prst="rect">
          <a:avLst/>
        </a:prstGeom>
        <a:solidFill>
          <a:srgbClr val="AEC7E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30</xdr:row>
      <xdr:rowOff>124619</xdr:rowOff>
    </xdr:from>
    <xdr:to>
      <xdr:col>7</xdr:col>
      <xdr:colOff>435769</xdr:colOff>
      <xdr:row>32</xdr:row>
      <xdr:rowOff>120650</xdr:rowOff>
    </xdr:to>
    <xdr:sp macro="" textlink="">
      <xdr:nvSpPr>
        <xdr:cNvPr id="48906" name="TextBox 48905">
          <a:extLst>
            <a:ext uri="{FF2B5EF4-FFF2-40B4-BE49-F238E27FC236}">
              <a16:creationId xmlns:a16="http://schemas.microsoft.com/office/drawing/2014/main" id="{82E77C94-FD9A-3A89-F19A-811887237689}"/>
            </a:ext>
          </a:extLst>
        </xdr:cNvPr>
        <xdr:cNvSpPr txBox="1"/>
      </xdr:nvSpPr>
      <xdr:spPr>
        <a:xfrm>
          <a:off x="3721100" y="4946650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KDO.8SR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9</xdr:col>
      <xdr:colOff>21431</xdr:colOff>
      <xdr:row>12</xdr:row>
      <xdr:rowOff>93662</xdr:rowOff>
    </xdr:from>
    <xdr:to>
      <xdr:col>10</xdr:col>
      <xdr:colOff>379412</xdr:colOff>
      <xdr:row>14</xdr:row>
      <xdr:rowOff>89694</xdr:rowOff>
    </xdr:to>
    <xdr:sp macro="" textlink="">
      <xdr:nvSpPr>
        <xdr:cNvPr id="48907" name="Прямоугольник 48906">
          <a:extLst>
            <a:ext uri="{FF2B5EF4-FFF2-40B4-BE49-F238E27FC236}">
              <a16:creationId xmlns:a16="http://schemas.microsoft.com/office/drawing/2014/main" id="{05574269-BA18-80BD-E499-82F8335EEC48}"/>
            </a:ext>
          </a:extLst>
        </xdr:cNvPr>
        <xdr:cNvSpPr/>
      </xdr:nvSpPr>
      <xdr:spPr>
        <a:xfrm>
          <a:off x="5486400" y="2022475"/>
          <a:ext cx="965200" cy="317500"/>
        </a:xfrm>
        <a:prstGeom prst="rect">
          <a:avLst/>
        </a:prstGeom>
        <a:solidFill>
          <a:srgbClr val="AEC7E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12</xdr:row>
      <xdr:rowOff>93662</xdr:rowOff>
    </xdr:from>
    <xdr:to>
      <xdr:col>10</xdr:col>
      <xdr:colOff>379412</xdr:colOff>
      <xdr:row>14</xdr:row>
      <xdr:rowOff>89694</xdr:rowOff>
    </xdr:to>
    <xdr:sp macro="" textlink="">
      <xdr:nvSpPr>
        <xdr:cNvPr id="48908" name="TextBox 48907">
          <a:extLst>
            <a:ext uri="{FF2B5EF4-FFF2-40B4-BE49-F238E27FC236}">
              <a16:creationId xmlns:a16="http://schemas.microsoft.com/office/drawing/2014/main" id="{1B5A6BFC-6764-092E-E235-6B178DC6A0A3}"/>
            </a:ext>
          </a:extLst>
        </xdr:cNvPr>
        <xdr:cNvSpPr txBox="1"/>
      </xdr:nvSpPr>
      <xdr:spPr>
        <a:xfrm>
          <a:off x="5486400" y="2022475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KDO.8SR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9</xdr:col>
      <xdr:colOff>21431</xdr:colOff>
      <xdr:row>14</xdr:row>
      <xdr:rowOff>89694</xdr:rowOff>
    </xdr:from>
    <xdr:to>
      <xdr:col>10</xdr:col>
      <xdr:colOff>379412</xdr:colOff>
      <xdr:row>16</xdr:row>
      <xdr:rowOff>85725</xdr:rowOff>
    </xdr:to>
    <xdr:sp macro="" textlink="">
      <xdr:nvSpPr>
        <xdr:cNvPr id="48909" name="Прямоугольник 48908">
          <a:extLst>
            <a:ext uri="{FF2B5EF4-FFF2-40B4-BE49-F238E27FC236}">
              <a16:creationId xmlns:a16="http://schemas.microsoft.com/office/drawing/2014/main" id="{7AED999C-E60A-9616-1DAB-D5178E8951C1}"/>
            </a:ext>
          </a:extLst>
        </xdr:cNvPr>
        <xdr:cNvSpPr/>
      </xdr:nvSpPr>
      <xdr:spPr>
        <a:xfrm>
          <a:off x="5486400" y="2339975"/>
          <a:ext cx="965200" cy="317500"/>
        </a:xfrm>
        <a:prstGeom prst="rect">
          <a:avLst/>
        </a:prstGeom>
        <a:solidFill>
          <a:srgbClr val="AEC7E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14</xdr:row>
      <xdr:rowOff>89694</xdr:rowOff>
    </xdr:from>
    <xdr:to>
      <xdr:col>10</xdr:col>
      <xdr:colOff>379412</xdr:colOff>
      <xdr:row>16</xdr:row>
      <xdr:rowOff>85725</xdr:rowOff>
    </xdr:to>
    <xdr:sp macro="" textlink="">
      <xdr:nvSpPr>
        <xdr:cNvPr id="48910" name="TextBox 48909">
          <a:extLst>
            <a:ext uri="{FF2B5EF4-FFF2-40B4-BE49-F238E27FC236}">
              <a16:creationId xmlns:a16="http://schemas.microsoft.com/office/drawing/2014/main" id="{38E66CD5-6B24-E5EE-9738-6988E2DB9DD2}"/>
            </a:ext>
          </a:extLst>
        </xdr:cNvPr>
        <xdr:cNvSpPr txBox="1"/>
      </xdr:nvSpPr>
      <xdr:spPr>
        <a:xfrm>
          <a:off x="5486400" y="2339975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KDO.8SR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9</xdr:col>
      <xdr:colOff>21431</xdr:colOff>
      <xdr:row>16</xdr:row>
      <xdr:rowOff>85725</xdr:rowOff>
    </xdr:from>
    <xdr:to>
      <xdr:col>10</xdr:col>
      <xdr:colOff>379412</xdr:colOff>
      <xdr:row>18</xdr:row>
      <xdr:rowOff>81756</xdr:rowOff>
    </xdr:to>
    <xdr:sp macro="" textlink="">
      <xdr:nvSpPr>
        <xdr:cNvPr id="48911" name="Прямоугольник 48910">
          <a:extLst>
            <a:ext uri="{FF2B5EF4-FFF2-40B4-BE49-F238E27FC236}">
              <a16:creationId xmlns:a16="http://schemas.microsoft.com/office/drawing/2014/main" id="{F6C56C4C-216C-8F91-1D42-4E465CA41FCE}"/>
            </a:ext>
          </a:extLst>
        </xdr:cNvPr>
        <xdr:cNvSpPr/>
      </xdr:nvSpPr>
      <xdr:spPr>
        <a:xfrm>
          <a:off x="5486400" y="2657475"/>
          <a:ext cx="965200" cy="317500"/>
        </a:xfrm>
        <a:prstGeom prst="rect">
          <a:avLst/>
        </a:prstGeom>
        <a:solidFill>
          <a:srgbClr val="AEC7E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16</xdr:row>
      <xdr:rowOff>85725</xdr:rowOff>
    </xdr:from>
    <xdr:to>
      <xdr:col>10</xdr:col>
      <xdr:colOff>379412</xdr:colOff>
      <xdr:row>18</xdr:row>
      <xdr:rowOff>81756</xdr:rowOff>
    </xdr:to>
    <xdr:sp macro="" textlink="">
      <xdr:nvSpPr>
        <xdr:cNvPr id="48912" name="TextBox 48911">
          <a:extLst>
            <a:ext uri="{FF2B5EF4-FFF2-40B4-BE49-F238E27FC236}">
              <a16:creationId xmlns:a16="http://schemas.microsoft.com/office/drawing/2014/main" id="{0BA176EE-E6AA-A4D0-F4EC-C2EE29C2C5D1}"/>
            </a:ext>
          </a:extLst>
        </xdr:cNvPr>
        <xdr:cNvSpPr txBox="1"/>
      </xdr:nvSpPr>
      <xdr:spPr>
        <a:xfrm>
          <a:off x="5486400" y="2657475"/>
          <a:ext cx="9652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KDO.8SR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9</xdr:col>
      <xdr:colOff>21431</xdr:colOff>
      <xdr:row>34</xdr:row>
      <xdr:rowOff>123031</xdr:rowOff>
    </xdr:from>
    <xdr:to>
      <xdr:col>10</xdr:col>
      <xdr:colOff>379412</xdr:colOff>
      <xdr:row>36</xdr:row>
      <xdr:rowOff>157162</xdr:rowOff>
    </xdr:to>
    <xdr:sp macro="" textlink="">
      <xdr:nvSpPr>
        <xdr:cNvPr id="48913" name="Прямоугольник 48912">
          <a:extLst>
            <a:ext uri="{FF2B5EF4-FFF2-40B4-BE49-F238E27FC236}">
              <a16:creationId xmlns:a16="http://schemas.microsoft.com/office/drawing/2014/main" id="{D2843E71-064D-0E65-30E3-907787697F64}"/>
            </a:ext>
          </a:extLst>
        </xdr:cNvPr>
        <xdr:cNvSpPr/>
      </xdr:nvSpPr>
      <xdr:spPr>
        <a:xfrm>
          <a:off x="5486400" y="5588000"/>
          <a:ext cx="965200" cy="355600"/>
        </a:xfrm>
        <a:prstGeom prst="rect">
          <a:avLst/>
        </a:prstGeom>
        <a:solidFill>
          <a:srgbClr val="FFBB7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34</xdr:row>
      <xdr:rowOff>123031</xdr:rowOff>
    </xdr:from>
    <xdr:to>
      <xdr:col>10</xdr:col>
      <xdr:colOff>379412</xdr:colOff>
      <xdr:row>36</xdr:row>
      <xdr:rowOff>157162</xdr:rowOff>
    </xdr:to>
    <xdr:sp macro="" textlink="">
      <xdr:nvSpPr>
        <xdr:cNvPr id="48914" name="TextBox 48913">
          <a:extLst>
            <a:ext uri="{FF2B5EF4-FFF2-40B4-BE49-F238E27FC236}">
              <a16:creationId xmlns:a16="http://schemas.microsoft.com/office/drawing/2014/main" id="{D4B33D56-CA92-0FF5-E705-647ABE706095}"/>
            </a:ext>
          </a:extLst>
        </xdr:cNvPr>
        <xdr:cNvSpPr txBox="1"/>
      </xdr:nvSpPr>
      <xdr:spPr>
        <a:xfrm>
          <a:off x="5486400" y="5588000"/>
          <a:ext cx="9652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TREI S240HC-0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481012</xdr:colOff>
      <xdr:row>34</xdr:row>
      <xdr:rowOff>157956</xdr:rowOff>
    </xdr:from>
    <xdr:to>
      <xdr:col>12</xdr:col>
      <xdr:colOff>231775</xdr:colOff>
      <xdr:row>37</xdr:row>
      <xdr:rowOff>31353</xdr:rowOff>
    </xdr:to>
    <xdr:sp macro="" textlink="">
      <xdr:nvSpPr>
        <xdr:cNvPr id="48915" name="Прямоугольник 48914">
          <a:extLst>
            <a:ext uri="{FF2B5EF4-FFF2-40B4-BE49-F238E27FC236}">
              <a16:creationId xmlns:a16="http://schemas.microsoft.com/office/drawing/2014/main" id="{9761DCB9-4781-1B68-48DE-B1A6A0040E24}"/>
            </a:ext>
          </a:extLst>
        </xdr:cNvPr>
        <xdr:cNvSpPr/>
      </xdr:nvSpPr>
      <xdr:spPr>
        <a:xfrm>
          <a:off x="6553200" y="5622925"/>
          <a:ext cx="965200" cy="355600"/>
        </a:xfrm>
        <a:prstGeom prst="rect">
          <a:avLst/>
        </a:prstGeom>
        <a:solidFill>
          <a:srgbClr val="FFBB7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34</xdr:row>
      <xdr:rowOff>157956</xdr:rowOff>
    </xdr:from>
    <xdr:to>
      <xdr:col>12</xdr:col>
      <xdr:colOff>231775</xdr:colOff>
      <xdr:row>37</xdr:row>
      <xdr:rowOff>31353</xdr:rowOff>
    </xdr:to>
    <xdr:sp macro="" textlink="">
      <xdr:nvSpPr>
        <xdr:cNvPr id="48916" name="TextBox 48915">
          <a:extLst>
            <a:ext uri="{FF2B5EF4-FFF2-40B4-BE49-F238E27FC236}">
              <a16:creationId xmlns:a16="http://schemas.microsoft.com/office/drawing/2014/main" id="{C29D6B70-0AC4-34CF-EC25-781711B2A3E2}"/>
            </a:ext>
          </a:extLst>
        </xdr:cNvPr>
        <xdr:cNvSpPr txBox="1"/>
      </xdr:nvSpPr>
      <xdr:spPr>
        <a:xfrm>
          <a:off x="6553200" y="5622925"/>
          <a:ext cx="9652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TREI S240HC-0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17</xdr:col>
      <xdr:colOff>129381</xdr:colOff>
      <xdr:row>9</xdr:row>
      <xdr:rowOff>77391</xdr:rowOff>
    </xdr:from>
    <xdr:to>
      <xdr:col>18</xdr:col>
      <xdr:colOff>487362</xdr:colOff>
      <xdr:row>11</xdr:row>
      <xdr:rowOff>111522</xdr:rowOff>
    </xdr:to>
    <xdr:sp macro="" textlink="">
      <xdr:nvSpPr>
        <xdr:cNvPr id="48917" name="Прямоугольник 48916">
          <a:extLst>
            <a:ext uri="{FF2B5EF4-FFF2-40B4-BE49-F238E27FC236}">
              <a16:creationId xmlns:a16="http://schemas.microsoft.com/office/drawing/2014/main" id="{62CE5130-6D8A-FAA7-50F0-97B9C8897E29}"/>
            </a:ext>
          </a:extLst>
        </xdr:cNvPr>
        <xdr:cNvSpPr/>
      </xdr:nvSpPr>
      <xdr:spPr>
        <a:xfrm>
          <a:off x="10452100" y="1524000"/>
          <a:ext cx="965200" cy="355600"/>
        </a:xfrm>
        <a:prstGeom prst="rect">
          <a:avLst/>
        </a:prstGeom>
        <a:solidFill>
          <a:srgbClr val="FFBB7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129381</xdr:colOff>
      <xdr:row>9</xdr:row>
      <xdr:rowOff>77391</xdr:rowOff>
    </xdr:from>
    <xdr:to>
      <xdr:col>18</xdr:col>
      <xdr:colOff>487362</xdr:colOff>
      <xdr:row>11</xdr:row>
      <xdr:rowOff>111522</xdr:rowOff>
    </xdr:to>
    <xdr:sp macro="" textlink="">
      <xdr:nvSpPr>
        <xdr:cNvPr id="48918" name="TextBox 48917">
          <a:extLst>
            <a:ext uri="{FF2B5EF4-FFF2-40B4-BE49-F238E27FC236}">
              <a16:creationId xmlns:a16="http://schemas.microsoft.com/office/drawing/2014/main" id="{4F4FE07F-D253-F89A-F3B5-F97C8BB09079}"/>
            </a:ext>
          </a:extLst>
        </xdr:cNvPr>
        <xdr:cNvSpPr txBox="1"/>
      </xdr:nvSpPr>
      <xdr:spPr>
        <a:xfrm>
          <a:off x="10452100" y="1524000"/>
          <a:ext cx="9652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TREI S240HC-0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17</xdr:col>
      <xdr:colOff>129381</xdr:colOff>
      <xdr:row>11</xdr:row>
      <xdr:rowOff>111522</xdr:rowOff>
    </xdr:from>
    <xdr:to>
      <xdr:col>18</xdr:col>
      <xdr:colOff>487362</xdr:colOff>
      <xdr:row>13</xdr:row>
      <xdr:rowOff>145653</xdr:rowOff>
    </xdr:to>
    <xdr:sp macro="" textlink="">
      <xdr:nvSpPr>
        <xdr:cNvPr id="48919" name="Прямоугольник 48918">
          <a:extLst>
            <a:ext uri="{FF2B5EF4-FFF2-40B4-BE49-F238E27FC236}">
              <a16:creationId xmlns:a16="http://schemas.microsoft.com/office/drawing/2014/main" id="{4F9559C5-045F-8C91-6C3A-7B22A48161F2}"/>
            </a:ext>
          </a:extLst>
        </xdr:cNvPr>
        <xdr:cNvSpPr/>
      </xdr:nvSpPr>
      <xdr:spPr>
        <a:xfrm>
          <a:off x="10452100" y="1879600"/>
          <a:ext cx="965200" cy="355600"/>
        </a:xfrm>
        <a:prstGeom prst="rect">
          <a:avLst/>
        </a:prstGeom>
        <a:solidFill>
          <a:srgbClr val="FFBB78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129381</xdr:colOff>
      <xdr:row>11</xdr:row>
      <xdr:rowOff>111522</xdr:rowOff>
    </xdr:from>
    <xdr:to>
      <xdr:col>18</xdr:col>
      <xdr:colOff>487362</xdr:colOff>
      <xdr:row>13</xdr:row>
      <xdr:rowOff>145653</xdr:rowOff>
    </xdr:to>
    <xdr:sp macro="" textlink="">
      <xdr:nvSpPr>
        <xdr:cNvPr id="48920" name="TextBox 48919">
          <a:extLst>
            <a:ext uri="{FF2B5EF4-FFF2-40B4-BE49-F238E27FC236}">
              <a16:creationId xmlns:a16="http://schemas.microsoft.com/office/drawing/2014/main" id="{C1CC5882-3A1E-B297-875C-E85788B2F4AB}"/>
            </a:ext>
          </a:extLst>
        </xdr:cNvPr>
        <xdr:cNvSpPr txBox="1"/>
      </xdr:nvSpPr>
      <xdr:spPr>
        <a:xfrm>
          <a:off x="10452100" y="1879600"/>
          <a:ext cx="9652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TREI S240HC-0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17</xdr:col>
      <xdr:colOff>129381</xdr:colOff>
      <xdr:row>13</xdr:row>
      <xdr:rowOff>145653</xdr:rowOff>
    </xdr:from>
    <xdr:to>
      <xdr:col>18</xdr:col>
      <xdr:colOff>487362</xdr:colOff>
      <xdr:row>15</xdr:row>
      <xdr:rowOff>109934</xdr:rowOff>
    </xdr:to>
    <xdr:sp macro="" textlink="">
      <xdr:nvSpPr>
        <xdr:cNvPr id="48921" name="Прямоугольник 48920">
          <a:extLst>
            <a:ext uri="{FF2B5EF4-FFF2-40B4-BE49-F238E27FC236}">
              <a16:creationId xmlns:a16="http://schemas.microsoft.com/office/drawing/2014/main" id="{7E42A3EF-DA29-49C1-D121-BCA430C2D44A}"/>
            </a:ext>
          </a:extLst>
        </xdr:cNvPr>
        <xdr:cNvSpPr/>
      </xdr:nvSpPr>
      <xdr:spPr>
        <a:xfrm>
          <a:off x="10452100" y="2235200"/>
          <a:ext cx="965200" cy="285750"/>
        </a:xfrm>
        <a:prstGeom prst="rect">
          <a:avLst/>
        </a:prstGeom>
        <a:solidFill>
          <a:srgbClr val="98DF8A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129381</xdr:colOff>
      <xdr:row>13</xdr:row>
      <xdr:rowOff>145653</xdr:rowOff>
    </xdr:from>
    <xdr:to>
      <xdr:col>18</xdr:col>
      <xdr:colOff>487362</xdr:colOff>
      <xdr:row>15</xdr:row>
      <xdr:rowOff>109934</xdr:rowOff>
    </xdr:to>
    <xdr:sp macro="" textlink="">
      <xdr:nvSpPr>
        <xdr:cNvPr id="48922" name="TextBox 48921">
          <a:extLst>
            <a:ext uri="{FF2B5EF4-FFF2-40B4-BE49-F238E27FC236}">
              <a16:creationId xmlns:a16="http://schemas.microsoft.com/office/drawing/2014/main" id="{64FF1821-A3B0-C7B7-4A9E-BB9AEFBCE9D7}"/>
            </a:ext>
          </a:extLst>
        </xdr:cNvPr>
        <xdr:cNvSpPr txBox="1"/>
      </xdr:nvSpPr>
      <xdr:spPr>
        <a:xfrm>
          <a:off x="10452100" y="2235200"/>
          <a:ext cx="965200" cy="2857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tDS-718 CR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17</xdr:col>
      <xdr:colOff>129381</xdr:colOff>
      <xdr:row>15</xdr:row>
      <xdr:rowOff>109934</xdr:rowOff>
    </xdr:from>
    <xdr:to>
      <xdr:col>18</xdr:col>
      <xdr:colOff>487362</xdr:colOff>
      <xdr:row>17</xdr:row>
      <xdr:rowOff>74216</xdr:rowOff>
    </xdr:to>
    <xdr:sp macro="" textlink="">
      <xdr:nvSpPr>
        <xdr:cNvPr id="48923" name="Прямоугольник 48922">
          <a:extLst>
            <a:ext uri="{FF2B5EF4-FFF2-40B4-BE49-F238E27FC236}">
              <a16:creationId xmlns:a16="http://schemas.microsoft.com/office/drawing/2014/main" id="{65D52A52-FE48-B8B0-2C48-50BB533F17C9}"/>
            </a:ext>
          </a:extLst>
        </xdr:cNvPr>
        <xdr:cNvSpPr/>
      </xdr:nvSpPr>
      <xdr:spPr>
        <a:xfrm>
          <a:off x="10452100" y="2520950"/>
          <a:ext cx="965200" cy="285750"/>
        </a:xfrm>
        <a:prstGeom prst="rect">
          <a:avLst/>
        </a:prstGeom>
        <a:solidFill>
          <a:srgbClr val="98DF8A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129381</xdr:colOff>
      <xdr:row>15</xdr:row>
      <xdr:rowOff>109934</xdr:rowOff>
    </xdr:from>
    <xdr:to>
      <xdr:col>18</xdr:col>
      <xdr:colOff>487362</xdr:colOff>
      <xdr:row>17</xdr:row>
      <xdr:rowOff>74216</xdr:rowOff>
    </xdr:to>
    <xdr:sp macro="" textlink="">
      <xdr:nvSpPr>
        <xdr:cNvPr id="48924" name="TextBox 48923">
          <a:extLst>
            <a:ext uri="{FF2B5EF4-FFF2-40B4-BE49-F238E27FC236}">
              <a16:creationId xmlns:a16="http://schemas.microsoft.com/office/drawing/2014/main" id="{00750279-8F21-A397-514F-461EFFE4AE8B}"/>
            </a:ext>
          </a:extLst>
        </xdr:cNvPr>
        <xdr:cNvSpPr txBox="1"/>
      </xdr:nvSpPr>
      <xdr:spPr>
        <a:xfrm>
          <a:off x="10452100" y="2520950"/>
          <a:ext cx="965200" cy="2857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tDS-718 CR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17</xdr:col>
      <xdr:colOff>129381</xdr:colOff>
      <xdr:row>17</xdr:row>
      <xdr:rowOff>74216</xdr:rowOff>
    </xdr:from>
    <xdr:to>
      <xdr:col>18</xdr:col>
      <xdr:colOff>487362</xdr:colOff>
      <xdr:row>19</xdr:row>
      <xdr:rowOff>38497</xdr:rowOff>
    </xdr:to>
    <xdr:sp macro="" textlink="">
      <xdr:nvSpPr>
        <xdr:cNvPr id="48925" name="Прямоугольник 48924">
          <a:extLst>
            <a:ext uri="{FF2B5EF4-FFF2-40B4-BE49-F238E27FC236}">
              <a16:creationId xmlns:a16="http://schemas.microsoft.com/office/drawing/2014/main" id="{741146A1-DC0D-D87F-D873-C5085F12CD07}"/>
            </a:ext>
          </a:extLst>
        </xdr:cNvPr>
        <xdr:cNvSpPr/>
      </xdr:nvSpPr>
      <xdr:spPr>
        <a:xfrm>
          <a:off x="10452100" y="2806700"/>
          <a:ext cx="965200" cy="285750"/>
        </a:xfrm>
        <a:prstGeom prst="rect">
          <a:avLst/>
        </a:prstGeom>
        <a:solidFill>
          <a:srgbClr val="98DF8A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129381</xdr:colOff>
      <xdr:row>17</xdr:row>
      <xdr:rowOff>74216</xdr:rowOff>
    </xdr:from>
    <xdr:to>
      <xdr:col>18</xdr:col>
      <xdr:colOff>487362</xdr:colOff>
      <xdr:row>19</xdr:row>
      <xdr:rowOff>38497</xdr:rowOff>
    </xdr:to>
    <xdr:sp macro="" textlink="">
      <xdr:nvSpPr>
        <xdr:cNvPr id="48926" name="TextBox 48925">
          <a:extLst>
            <a:ext uri="{FF2B5EF4-FFF2-40B4-BE49-F238E27FC236}">
              <a16:creationId xmlns:a16="http://schemas.microsoft.com/office/drawing/2014/main" id="{8F6D1222-98BE-5C42-9EF6-601195601E73}"/>
            </a:ext>
          </a:extLst>
        </xdr:cNvPr>
        <xdr:cNvSpPr txBox="1"/>
      </xdr:nvSpPr>
      <xdr:spPr>
        <a:xfrm>
          <a:off x="10452100" y="2806700"/>
          <a:ext cx="965200" cy="2857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tDS-718 CR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17</xdr:col>
      <xdr:colOff>129381</xdr:colOff>
      <xdr:row>19</xdr:row>
      <xdr:rowOff>38497</xdr:rowOff>
    </xdr:from>
    <xdr:to>
      <xdr:col>18</xdr:col>
      <xdr:colOff>487362</xdr:colOff>
      <xdr:row>21</xdr:row>
      <xdr:rowOff>2778</xdr:rowOff>
    </xdr:to>
    <xdr:sp macro="" textlink="">
      <xdr:nvSpPr>
        <xdr:cNvPr id="48927" name="Прямоугольник 48926">
          <a:extLst>
            <a:ext uri="{FF2B5EF4-FFF2-40B4-BE49-F238E27FC236}">
              <a16:creationId xmlns:a16="http://schemas.microsoft.com/office/drawing/2014/main" id="{9ED3033F-93E0-BFDD-A71B-7B7AF11D3EF9}"/>
            </a:ext>
          </a:extLst>
        </xdr:cNvPr>
        <xdr:cNvSpPr/>
      </xdr:nvSpPr>
      <xdr:spPr>
        <a:xfrm>
          <a:off x="10452100" y="3092450"/>
          <a:ext cx="965200" cy="285750"/>
        </a:xfrm>
        <a:prstGeom prst="rect">
          <a:avLst/>
        </a:prstGeom>
        <a:solidFill>
          <a:srgbClr val="98DF8A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129381</xdr:colOff>
      <xdr:row>19</xdr:row>
      <xdr:rowOff>38497</xdr:rowOff>
    </xdr:from>
    <xdr:to>
      <xdr:col>18</xdr:col>
      <xdr:colOff>487362</xdr:colOff>
      <xdr:row>21</xdr:row>
      <xdr:rowOff>2778</xdr:rowOff>
    </xdr:to>
    <xdr:sp macro="" textlink="">
      <xdr:nvSpPr>
        <xdr:cNvPr id="48928" name="TextBox 48927">
          <a:extLst>
            <a:ext uri="{FF2B5EF4-FFF2-40B4-BE49-F238E27FC236}">
              <a16:creationId xmlns:a16="http://schemas.microsoft.com/office/drawing/2014/main" id="{CC39FDA2-CB6F-43FD-EA39-07DDAD2D2DAA}"/>
            </a:ext>
          </a:extLst>
        </xdr:cNvPr>
        <xdr:cNvSpPr txBox="1"/>
      </xdr:nvSpPr>
      <xdr:spPr>
        <a:xfrm>
          <a:off x="10452100" y="3092450"/>
          <a:ext cx="965200" cy="2857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ctr"/>
          <a:r>
            <a:rPr lang="en-US" sz="600" b="0">
              <a:solidFill>
                <a:srgbClr val="000000"/>
              </a:solidFill>
            </a:rPr>
            <a:t>tDS-718 CR</a:t>
          </a:r>
          <a:endParaRPr lang="ru-RU" sz="600" b="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77787</xdr:colOff>
      <xdr:row>37</xdr:row>
      <xdr:rowOff>56753</xdr:rowOff>
    </xdr:from>
    <xdr:to>
      <xdr:col>7</xdr:col>
      <xdr:colOff>435769</xdr:colOff>
      <xdr:row>37</xdr:row>
      <xdr:rowOff>98028</xdr:rowOff>
    </xdr:to>
    <xdr:sp macro="" textlink="">
      <xdr:nvSpPr>
        <xdr:cNvPr id="48929" name="Прямоугольник 48928">
          <a:extLst>
            <a:ext uri="{FF2B5EF4-FFF2-40B4-BE49-F238E27FC236}">
              <a16:creationId xmlns:a16="http://schemas.microsoft.com/office/drawing/2014/main" id="{9C49B991-A7CD-A29B-27C0-8DF6D4D3BE3C}"/>
            </a:ext>
          </a:extLst>
        </xdr:cNvPr>
        <xdr:cNvSpPr/>
      </xdr:nvSpPr>
      <xdr:spPr>
        <a:xfrm>
          <a:off x="3721100" y="6003925"/>
          <a:ext cx="965200" cy="41275"/>
        </a:xfrm>
        <a:prstGeom prst="rect">
          <a:avLst/>
        </a:prstGeom>
        <a:solidFill>
          <a:srgbClr val="FF9896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35</xdr:row>
      <xdr:rowOff>159147</xdr:rowOff>
    </xdr:from>
    <xdr:to>
      <xdr:col>7</xdr:col>
      <xdr:colOff>435769</xdr:colOff>
      <xdr:row>36</xdr:row>
      <xdr:rowOff>71437</xdr:rowOff>
    </xdr:to>
    <xdr:sp macro="" textlink="">
      <xdr:nvSpPr>
        <xdr:cNvPr id="48930" name="Прямоугольник 48929">
          <a:extLst>
            <a:ext uri="{FF2B5EF4-FFF2-40B4-BE49-F238E27FC236}">
              <a16:creationId xmlns:a16="http://schemas.microsoft.com/office/drawing/2014/main" id="{5056E273-2878-6A2C-385D-D09B1FC708CA}"/>
            </a:ext>
          </a:extLst>
        </xdr:cNvPr>
        <xdr:cNvSpPr/>
      </xdr:nvSpPr>
      <xdr:spPr>
        <a:xfrm>
          <a:off x="3721100" y="5784850"/>
          <a:ext cx="965200" cy="73025"/>
        </a:xfrm>
        <a:prstGeom prst="rect">
          <a:avLst/>
        </a:prstGeom>
        <a:solidFill>
          <a:srgbClr val="C5B0D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36</xdr:row>
      <xdr:rowOff>71437</xdr:rowOff>
    </xdr:from>
    <xdr:to>
      <xdr:col>7</xdr:col>
      <xdr:colOff>435769</xdr:colOff>
      <xdr:row>36</xdr:row>
      <xdr:rowOff>144462</xdr:rowOff>
    </xdr:to>
    <xdr:sp macro="" textlink="">
      <xdr:nvSpPr>
        <xdr:cNvPr id="48931" name="Прямоугольник 48930">
          <a:extLst>
            <a:ext uri="{FF2B5EF4-FFF2-40B4-BE49-F238E27FC236}">
              <a16:creationId xmlns:a16="http://schemas.microsoft.com/office/drawing/2014/main" id="{CA632ACF-1208-1955-524E-E0203D956BFC}"/>
            </a:ext>
          </a:extLst>
        </xdr:cNvPr>
        <xdr:cNvSpPr/>
      </xdr:nvSpPr>
      <xdr:spPr>
        <a:xfrm>
          <a:off x="3721100" y="5857875"/>
          <a:ext cx="965200" cy="73025"/>
        </a:xfrm>
        <a:prstGeom prst="rect">
          <a:avLst/>
        </a:prstGeom>
        <a:solidFill>
          <a:srgbClr val="C5B0D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36</xdr:row>
      <xdr:rowOff>144462</xdr:rowOff>
    </xdr:from>
    <xdr:to>
      <xdr:col>7</xdr:col>
      <xdr:colOff>435769</xdr:colOff>
      <xdr:row>37</xdr:row>
      <xdr:rowOff>56753</xdr:rowOff>
    </xdr:to>
    <xdr:sp macro="" textlink="">
      <xdr:nvSpPr>
        <xdr:cNvPr id="48932" name="Прямоугольник 48931">
          <a:extLst>
            <a:ext uri="{FF2B5EF4-FFF2-40B4-BE49-F238E27FC236}">
              <a16:creationId xmlns:a16="http://schemas.microsoft.com/office/drawing/2014/main" id="{C7F3FF63-D392-9D23-0E2E-88EAEC27E52E}"/>
            </a:ext>
          </a:extLst>
        </xdr:cNvPr>
        <xdr:cNvSpPr/>
      </xdr:nvSpPr>
      <xdr:spPr>
        <a:xfrm>
          <a:off x="3721100" y="5930900"/>
          <a:ext cx="965200" cy="73025"/>
        </a:xfrm>
        <a:prstGeom prst="rect">
          <a:avLst/>
        </a:prstGeom>
        <a:solidFill>
          <a:srgbClr val="C5B0D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21</xdr:row>
      <xdr:rowOff>98028</xdr:rowOff>
    </xdr:from>
    <xdr:to>
      <xdr:col>10</xdr:col>
      <xdr:colOff>379412</xdr:colOff>
      <xdr:row>22</xdr:row>
      <xdr:rowOff>10319</xdr:rowOff>
    </xdr:to>
    <xdr:sp macro="" textlink="">
      <xdr:nvSpPr>
        <xdr:cNvPr id="48933" name="Прямоугольник 48932">
          <a:extLst>
            <a:ext uri="{FF2B5EF4-FFF2-40B4-BE49-F238E27FC236}">
              <a16:creationId xmlns:a16="http://schemas.microsoft.com/office/drawing/2014/main" id="{CBC7A659-E989-A4AB-7597-7962DF2E3CDC}"/>
            </a:ext>
          </a:extLst>
        </xdr:cNvPr>
        <xdr:cNvSpPr/>
      </xdr:nvSpPr>
      <xdr:spPr>
        <a:xfrm>
          <a:off x="5486400" y="3473450"/>
          <a:ext cx="965200" cy="73025"/>
        </a:xfrm>
        <a:prstGeom prst="rect">
          <a:avLst/>
        </a:prstGeom>
        <a:solidFill>
          <a:srgbClr val="C49C94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27</xdr:row>
      <xdr:rowOff>25797</xdr:rowOff>
    </xdr:from>
    <xdr:to>
      <xdr:col>10</xdr:col>
      <xdr:colOff>379412</xdr:colOff>
      <xdr:row>27</xdr:row>
      <xdr:rowOff>98822</xdr:rowOff>
    </xdr:to>
    <xdr:sp macro="" textlink="">
      <xdr:nvSpPr>
        <xdr:cNvPr id="48934" name="Прямоугольник 48933">
          <a:extLst>
            <a:ext uri="{FF2B5EF4-FFF2-40B4-BE49-F238E27FC236}">
              <a16:creationId xmlns:a16="http://schemas.microsoft.com/office/drawing/2014/main" id="{038A5F6C-198E-DFB0-A63E-88A6B6C01452}"/>
            </a:ext>
          </a:extLst>
        </xdr:cNvPr>
        <xdr:cNvSpPr/>
      </xdr:nvSpPr>
      <xdr:spPr>
        <a:xfrm>
          <a:off x="5486400" y="4365625"/>
          <a:ext cx="965200" cy="73025"/>
        </a:xfrm>
        <a:prstGeom prst="rect">
          <a:avLst/>
        </a:prstGeom>
        <a:solidFill>
          <a:srgbClr val="C49C94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32</xdr:row>
      <xdr:rowOff>82550</xdr:rowOff>
    </xdr:from>
    <xdr:to>
      <xdr:col>10</xdr:col>
      <xdr:colOff>379412</xdr:colOff>
      <xdr:row>32</xdr:row>
      <xdr:rowOff>155575</xdr:rowOff>
    </xdr:to>
    <xdr:sp macro="" textlink="">
      <xdr:nvSpPr>
        <xdr:cNvPr id="48935" name="Прямоугольник 48934">
          <a:extLst>
            <a:ext uri="{FF2B5EF4-FFF2-40B4-BE49-F238E27FC236}">
              <a16:creationId xmlns:a16="http://schemas.microsoft.com/office/drawing/2014/main" id="{6132603F-053B-5292-E134-275CC8B00392}"/>
            </a:ext>
          </a:extLst>
        </xdr:cNvPr>
        <xdr:cNvSpPr/>
      </xdr:nvSpPr>
      <xdr:spPr>
        <a:xfrm>
          <a:off x="5486400" y="5226050"/>
          <a:ext cx="965200" cy="73025"/>
        </a:xfrm>
        <a:prstGeom prst="rect">
          <a:avLst/>
        </a:prstGeom>
        <a:solidFill>
          <a:srgbClr val="C49C94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12</xdr:row>
      <xdr:rowOff>93662</xdr:rowOff>
    </xdr:from>
    <xdr:to>
      <xdr:col>12</xdr:col>
      <xdr:colOff>231775</xdr:colOff>
      <xdr:row>13</xdr:row>
      <xdr:rowOff>5953</xdr:rowOff>
    </xdr:to>
    <xdr:sp macro="" textlink="">
      <xdr:nvSpPr>
        <xdr:cNvPr id="48936" name="Прямоугольник 48935">
          <a:extLst>
            <a:ext uri="{FF2B5EF4-FFF2-40B4-BE49-F238E27FC236}">
              <a16:creationId xmlns:a16="http://schemas.microsoft.com/office/drawing/2014/main" id="{054C1211-333B-27E3-2368-73956A93C9FB}"/>
            </a:ext>
          </a:extLst>
        </xdr:cNvPr>
        <xdr:cNvSpPr/>
      </xdr:nvSpPr>
      <xdr:spPr>
        <a:xfrm>
          <a:off x="6553200" y="2022475"/>
          <a:ext cx="965200" cy="73025"/>
        </a:xfrm>
        <a:prstGeom prst="rect">
          <a:avLst/>
        </a:prstGeom>
        <a:solidFill>
          <a:srgbClr val="C49C94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22</xdr:row>
      <xdr:rowOff>10319</xdr:rowOff>
    </xdr:from>
    <xdr:to>
      <xdr:col>10</xdr:col>
      <xdr:colOff>379412</xdr:colOff>
      <xdr:row>22</xdr:row>
      <xdr:rowOff>83344</xdr:rowOff>
    </xdr:to>
    <xdr:sp macro="" textlink="">
      <xdr:nvSpPr>
        <xdr:cNvPr id="48937" name="Прямоугольник 48936">
          <a:extLst>
            <a:ext uri="{FF2B5EF4-FFF2-40B4-BE49-F238E27FC236}">
              <a16:creationId xmlns:a16="http://schemas.microsoft.com/office/drawing/2014/main" id="{14203F1A-617A-6519-37BB-0938A4D0AB89}"/>
            </a:ext>
          </a:extLst>
        </xdr:cNvPr>
        <xdr:cNvSpPr/>
      </xdr:nvSpPr>
      <xdr:spPr>
        <a:xfrm>
          <a:off x="5486400" y="3546475"/>
          <a:ext cx="965200" cy="73025"/>
        </a:xfrm>
        <a:prstGeom prst="rect">
          <a:avLst/>
        </a:prstGeom>
        <a:solidFill>
          <a:srgbClr val="C49C94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27</xdr:row>
      <xdr:rowOff>98822</xdr:rowOff>
    </xdr:from>
    <xdr:to>
      <xdr:col>10</xdr:col>
      <xdr:colOff>379412</xdr:colOff>
      <xdr:row>27</xdr:row>
      <xdr:rowOff>140097</xdr:rowOff>
    </xdr:to>
    <xdr:sp macro="" textlink="">
      <xdr:nvSpPr>
        <xdr:cNvPr id="48938" name="Прямоугольник 48937">
          <a:extLst>
            <a:ext uri="{FF2B5EF4-FFF2-40B4-BE49-F238E27FC236}">
              <a16:creationId xmlns:a16="http://schemas.microsoft.com/office/drawing/2014/main" id="{119D8C21-9D92-E101-A14B-7A8A4707CD1B}"/>
            </a:ext>
          </a:extLst>
        </xdr:cNvPr>
        <xdr:cNvSpPr/>
      </xdr:nvSpPr>
      <xdr:spPr>
        <a:xfrm>
          <a:off x="5486400" y="44386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32</xdr:row>
      <xdr:rowOff>155575</xdr:rowOff>
    </xdr:from>
    <xdr:to>
      <xdr:col>10</xdr:col>
      <xdr:colOff>379412</xdr:colOff>
      <xdr:row>33</xdr:row>
      <xdr:rowOff>36116</xdr:rowOff>
    </xdr:to>
    <xdr:sp macro="" textlink="">
      <xdr:nvSpPr>
        <xdr:cNvPr id="48939" name="Прямоугольник 48938">
          <a:extLst>
            <a:ext uri="{FF2B5EF4-FFF2-40B4-BE49-F238E27FC236}">
              <a16:creationId xmlns:a16="http://schemas.microsoft.com/office/drawing/2014/main" id="{F5E1223C-8CF2-CFB4-F5B1-EA506EED86C1}"/>
            </a:ext>
          </a:extLst>
        </xdr:cNvPr>
        <xdr:cNvSpPr/>
      </xdr:nvSpPr>
      <xdr:spPr>
        <a:xfrm>
          <a:off x="5486400" y="52990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13</xdr:row>
      <xdr:rowOff>5953</xdr:rowOff>
    </xdr:from>
    <xdr:to>
      <xdr:col>12</xdr:col>
      <xdr:colOff>231775</xdr:colOff>
      <xdr:row>13</xdr:row>
      <xdr:rowOff>47228</xdr:rowOff>
    </xdr:to>
    <xdr:sp macro="" textlink="">
      <xdr:nvSpPr>
        <xdr:cNvPr id="48940" name="Прямоугольник 48939">
          <a:extLst>
            <a:ext uri="{FF2B5EF4-FFF2-40B4-BE49-F238E27FC236}">
              <a16:creationId xmlns:a16="http://schemas.microsoft.com/office/drawing/2014/main" id="{D2B196AF-95E1-806F-E55B-4182374DAB4B}"/>
            </a:ext>
          </a:extLst>
        </xdr:cNvPr>
        <xdr:cNvSpPr/>
      </xdr:nvSpPr>
      <xdr:spPr>
        <a:xfrm>
          <a:off x="6553200" y="20955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22</xdr:row>
      <xdr:rowOff>83344</xdr:rowOff>
    </xdr:from>
    <xdr:to>
      <xdr:col>10</xdr:col>
      <xdr:colOff>379412</xdr:colOff>
      <xdr:row>22</xdr:row>
      <xdr:rowOff>124619</xdr:rowOff>
    </xdr:to>
    <xdr:sp macro="" textlink="">
      <xdr:nvSpPr>
        <xdr:cNvPr id="48941" name="Прямоугольник 48940">
          <a:extLst>
            <a:ext uri="{FF2B5EF4-FFF2-40B4-BE49-F238E27FC236}">
              <a16:creationId xmlns:a16="http://schemas.microsoft.com/office/drawing/2014/main" id="{1727DDEC-C7DA-F6D0-D82D-289F5AE1B530}"/>
            </a:ext>
          </a:extLst>
        </xdr:cNvPr>
        <xdr:cNvSpPr/>
      </xdr:nvSpPr>
      <xdr:spPr>
        <a:xfrm>
          <a:off x="5486400" y="36195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27</xdr:row>
      <xdr:rowOff>140097</xdr:rowOff>
    </xdr:from>
    <xdr:to>
      <xdr:col>10</xdr:col>
      <xdr:colOff>379412</xdr:colOff>
      <xdr:row>28</xdr:row>
      <xdr:rowOff>20637</xdr:rowOff>
    </xdr:to>
    <xdr:sp macro="" textlink="">
      <xdr:nvSpPr>
        <xdr:cNvPr id="48942" name="Прямоугольник 48941">
          <a:extLst>
            <a:ext uri="{FF2B5EF4-FFF2-40B4-BE49-F238E27FC236}">
              <a16:creationId xmlns:a16="http://schemas.microsoft.com/office/drawing/2014/main" id="{F4486241-C088-9A42-0EC1-AA6B3B6C50A4}"/>
            </a:ext>
          </a:extLst>
        </xdr:cNvPr>
        <xdr:cNvSpPr/>
      </xdr:nvSpPr>
      <xdr:spPr>
        <a:xfrm>
          <a:off x="5486400" y="44799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33</xdr:row>
      <xdr:rowOff>36116</xdr:rowOff>
    </xdr:from>
    <xdr:to>
      <xdr:col>10</xdr:col>
      <xdr:colOff>379412</xdr:colOff>
      <xdr:row>33</xdr:row>
      <xdr:rowOff>77391</xdr:rowOff>
    </xdr:to>
    <xdr:sp macro="" textlink="">
      <xdr:nvSpPr>
        <xdr:cNvPr id="48943" name="Прямоугольник 48942">
          <a:extLst>
            <a:ext uri="{FF2B5EF4-FFF2-40B4-BE49-F238E27FC236}">
              <a16:creationId xmlns:a16="http://schemas.microsoft.com/office/drawing/2014/main" id="{E55FF9F9-6439-0C9B-54F3-C8C6C20CE1D7}"/>
            </a:ext>
          </a:extLst>
        </xdr:cNvPr>
        <xdr:cNvSpPr/>
      </xdr:nvSpPr>
      <xdr:spPr>
        <a:xfrm>
          <a:off x="5486400" y="53403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13</xdr:row>
      <xdr:rowOff>47228</xdr:rowOff>
    </xdr:from>
    <xdr:to>
      <xdr:col>12</xdr:col>
      <xdr:colOff>231775</xdr:colOff>
      <xdr:row>13</xdr:row>
      <xdr:rowOff>88503</xdr:rowOff>
    </xdr:to>
    <xdr:sp macro="" textlink="">
      <xdr:nvSpPr>
        <xdr:cNvPr id="48944" name="Прямоугольник 48943">
          <a:extLst>
            <a:ext uri="{FF2B5EF4-FFF2-40B4-BE49-F238E27FC236}">
              <a16:creationId xmlns:a16="http://schemas.microsoft.com/office/drawing/2014/main" id="{717D9FB2-BC8B-C6F0-82A1-8D70F595E5AA}"/>
            </a:ext>
          </a:extLst>
        </xdr:cNvPr>
        <xdr:cNvSpPr/>
      </xdr:nvSpPr>
      <xdr:spPr>
        <a:xfrm>
          <a:off x="6553200" y="21367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22</xdr:row>
      <xdr:rowOff>124619</xdr:rowOff>
    </xdr:from>
    <xdr:to>
      <xdr:col>10</xdr:col>
      <xdr:colOff>379412</xdr:colOff>
      <xdr:row>23</xdr:row>
      <xdr:rowOff>5159</xdr:rowOff>
    </xdr:to>
    <xdr:sp macro="" textlink="">
      <xdr:nvSpPr>
        <xdr:cNvPr id="48945" name="Прямоугольник 48944">
          <a:extLst>
            <a:ext uri="{FF2B5EF4-FFF2-40B4-BE49-F238E27FC236}">
              <a16:creationId xmlns:a16="http://schemas.microsoft.com/office/drawing/2014/main" id="{C05CE724-8B48-9AA2-4507-B4B45282CBFC}"/>
            </a:ext>
          </a:extLst>
        </xdr:cNvPr>
        <xdr:cNvSpPr/>
      </xdr:nvSpPr>
      <xdr:spPr>
        <a:xfrm>
          <a:off x="5486400" y="36607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28</xdr:row>
      <xdr:rowOff>20637</xdr:rowOff>
    </xdr:from>
    <xdr:to>
      <xdr:col>10</xdr:col>
      <xdr:colOff>379412</xdr:colOff>
      <xdr:row>28</xdr:row>
      <xdr:rowOff>61912</xdr:rowOff>
    </xdr:to>
    <xdr:sp macro="" textlink="">
      <xdr:nvSpPr>
        <xdr:cNvPr id="48946" name="Прямоугольник 48945">
          <a:extLst>
            <a:ext uri="{FF2B5EF4-FFF2-40B4-BE49-F238E27FC236}">
              <a16:creationId xmlns:a16="http://schemas.microsoft.com/office/drawing/2014/main" id="{3A8CFD71-3F1B-80C8-13D3-06C89A46BB1B}"/>
            </a:ext>
          </a:extLst>
        </xdr:cNvPr>
        <xdr:cNvSpPr/>
      </xdr:nvSpPr>
      <xdr:spPr>
        <a:xfrm>
          <a:off x="5486400" y="45212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33</xdr:row>
      <xdr:rowOff>77391</xdr:rowOff>
    </xdr:from>
    <xdr:to>
      <xdr:col>10</xdr:col>
      <xdr:colOff>379412</xdr:colOff>
      <xdr:row>33</xdr:row>
      <xdr:rowOff>118666</xdr:rowOff>
    </xdr:to>
    <xdr:sp macro="" textlink="">
      <xdr:nvSpPr>
        <xdr:cNvPr id="48947" name="Прямоугольник 48946">
          <a:extLst>
            <a:ext uri="{FF2B5EF4-FFF2-40B4-BE49-F238E27FC236}">
              <a16:creationId xmlns:a16="http://schemas.microsoft.com/office/drawing/2014/main" id="{BF71D4ED-4866-2697-D691-53D7797B6E4A}"/>
            </a:ext>
          </a:extLst>
        </xdr:cNvPr>
        <xdr:cNvSpPr/>
      </xdr:nvSpPr>
      <xdr:spPr>
        <a:xfrm>
          <a:off x="5486400" y="53816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13</xdr:row>
      <xdr:rowOff>88503</xdr:rowOff>
    </xdr:from>
    <xdr:to>
      <xdr:col>12</xdr:col>
      <xdr:colOff>231775</xdr:colOff>
      <xdr:row>13</xdr:row>
      <xdr:rowOff>129778</xdr:rowOff>
    </xdr:to>
    <xdr:sp macro="" textlink="">
      <xdr:nvSpPr>
        <xdr:cNvPr id="48948" name="Прямоугольник 48947">
          <a:extLst>
            <a:ext uri="{FF2B5EF4-FFF2-40B4-BE49-F238E27FC236}">
              <a16:creationId xmlns:a16="http://schemas.microsoft.com/office/drawing/2014/main" id="{78064FB3-4984-6C96-0DA2-4E1361AB0DB0}"/>
            </a:ext>
          </a:extLst>
        </xdr:cNvPr>
        <xdr:cNvSpPr/>
      </xdr:nvSpPr>
      <xdr:spPr>
        <a:xfrm>
          <a:off x="6553200" y="21780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23</xdr:row>
      <xdr:rowOff>5159</xdr:rowOff>
    </xdr:from>
    <xdr:to>
      <xdr:col>10</xdr:col>
      <xdr:colOff>379412</xdr:colOff>
      <xdr:row>23</xdr:row>
      <xdr:rowOff>46434</xdr:rowOff>
    </xdr:to>
    <xdr:sp macro="" textlink="">
      <xdr:nvSpPr>
        <xdr:cNvPr id="48949" name="Прямоугольник 48948">
          <a:extLst>
            <a:ext uri="{FF2B5EF4-FFF2-40B4-BE49-F238E27FC236}">
              <a16:creationId xmlns:a16="http://schemas.microsoft.com/office/drawing/2014/main" id="{3ED0CF08-7512-BF28-EF0D-2EB87BD56D2E}"/>
            </a:ext>
          </a:extLst>
        </xdr:cNvPr>
        <xdr:cNvSpPr/>
      </xdr:nvSpPr>
      <xdr:spPr>
        <a:xfrm>
          <a:off x="5486400" y="37020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28</xdr:row>
      <xdr:rowOff>61912</xdr:rowOff>
    </xdr:from>
    <xdr:to>
      <xdr:col>10</xdr:col>
      <xdr:colOff>379412</xdr:colOff>
      <xdr:row>28</xdr:row>
      <xdr:rowOff>103187</xdr:rowOff>
    </xdr:to>
    <xdr:sp macro="" textlink="">
      <xdr:nvSpPr>
        <xdr:cNvPr id="48950" name="Прямоугольник 48949">
          <a:extLst>
            <a:ext uri="{FF2B5EF4-FFF2-40B4-BE49-F238E27FC236}">
              <a16:creationId xmlns:a16="http://schemas.microsoft.com/office/drawing/2014/main" id="{E2817723-F643-9F68-D257-9386E405650C}"/>
            </a:ext>
          </a:extLst>
        </xdr:cNvPr>
        <xdr:cNvSpPr/>
      </xdr:nvSpPr>
      <xdr:spPr>
        <a:xfrm>
          <a:off x="5486400" y="45624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33</xdr:row>
      <xdr:rowOff>118666</xdr:rowOff>
    </xdr:from>
    <xdr:to>
      <xdr:col>10</xdr:col>
      <xdr:colOff>379412</xdr:colOff>
      <xdr:row>33</xdr:row>
      <xdr:rowOff>159941</xdr:rowOff>
    </xdr:to>
    <xdr:sp macro="" textlink="">
      <xdr:nvSpPr>
        <xdr:cNvPr id="48951" name="Прямоугольник 48950">
          <a:extLst>
            <a:ext uri="{FF2B5EF4-FFF2-40B4-BE49-F238E27FC236}">
              <a16:creationId xmlns:a16="http://schemas.microsoft.com/office/drawing/2014/main" id="{BEB2F0E6-0E16-62AC-DB99-B7C7EE9B5F65}"/>
            </a:ext>
          </a:extLst>
        </xdr:cNvPr>
        <xdr:cNvSpPr/>
      </xdr:nvSpPr>
      <xdr:spPr>
        <a:xfrm>
          <a:off x="5486400" y="54229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13</xdr:row>
      <xdr:rowOff>129778</xdr:rowOff>
    </xdr:from>
    <xdr:to>
      <xdr:col>12</xdr:col>
      <xdr:colOff>231775</xdr:colOff>
      <xdr:row>14</xdr:row>
      <xdr:rowOff>10319</xdr:rowOff>
    </xdr:to>
    <xdr:sp macro="" textlink="">
      <xdr:nvSpPr>
        <xdr:cNvPr id="48952" name="Прямоугольник 48951">
          <a:extLst>
            <a:ext uri="{FF2B5EF4-FFF2-40B4-BE49-F238E27FC236}">
              <a16:creationId xmlns:a16="http://schemas.microsoft.com/office/drawing/2014/main" id="{85607F59-03AC-813A-97C9-C0EC0DC67FC3}"/>
            </a:ext>
          </a:extLst>
        </xdr:cNvPr>
        <xdr:cNvSpPr/>
      </xdr:nvSpPr>
      <xdr:spPr>
        <a:xfrm>
          <a:off x="6553200" y="22193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23</xdr:row>
      <xdr:rowOff>46434</xdr:rowOff>
    </xdr:from>
    <xdr:to>
      <xdr:col>10</xdr:col>
      <xdr:colOff>379412</xdr:colOff>
      <xdr:row>23</xdr:row>
      <xdr:rowOff>87709</xdr:rowOff>
    </xdr:to>
    <xdr:sp macro="" textlink="">
      <xdr:nvSpPr>
        <xdr:cNvPr id="48953" name="Прямоугольник 48952">
          <a:extLst>
            <a:ext uri="{FF2B5EF4-FFF2-40B4-BE49-F238E27FC236}">
              <a16:creationId xmlns:a16="http://schemas.microsoft.com/office/drawing/2014/main" id="{C69F412D-98C2-2677-A279-EDA0028FA135}"/>
            </a:ext>
          </a:extLst>
        </xdr:cNvPr>
        <xdr:cNvSpPr/>
      </xdr:nvSpPr>
      <xdr:spPr>
        <a:xfrm>
          <a:off x="5486400" y="37433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28</xdr:row>
      <xdr:rowOff>103187</xdr:rowOff>
    </xdr:from>
    <xdr:to>
      <xdr:col>10</xdr:col>
      <xdr:colOff>379412</xdr:colOff>
      <xdr:row>28</xdr:row>
      <xdr:rowOff>144462</xdr:rowOff>
    </xdr:to>
    <xdr:sp macro="" textlink="">
      <xdr:nvSpPr>
        <xdr:cNvPr id="48954" name="Прямоугольник 48953">
          <a:extLst>
            <a:ext uri="{FF2B5EF4-FFF2-40B4-BE49-F238E27FC236}">
              <a16:creationId xmlns:a16="http://schemas.microsoft.com/office/drawing/2014/main" id="{7230CC41-E3DA-85F7-6089-863966862E80}"/>
            </a:ext>
          </a:extLst>
        </xdr:cNvPr>
        <xdr:cNvSpPr/>
      </xdr:nvSpPr>
      <xdr:spPr>
        <a:xfrm>
          <a:off x="5486400" y="46037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33</xdr:row>
      <xdr:rowOff>159941</xdr:rowOff>
    </xdr:from>
    <xdr:to>
      <xdr:col>10</xdr:col>
      <xdr:colOff>379412</xdr:colOff>
      <xdr:row>34</xdr:row>
      <xdr:rowOff>40481</xdr:rowOff>
    </xdr:to>
    <xdr:sp macro="" textlink="">
      <xdr:nvSpPr>
        <xdr:cNvPr id="48955" name="Прямоугольник 48954">
          <a:extLst>
            <a:ext uri="{FF2B5EF4-FFF2-40B4-BE49-F238E27FC236}">
              <a16:creationId xmlns:a16="http://schemas.microsoft.com/office/drawing/2014/main" id="{A086A426-7F0F-C561-13E2-6C2E0B05C0EC}"/>
            </a:ext>
          </a:extLst>
        </xdr:cNvPr>
        <xdr:cNvSpPr/>
      </xdr:nvSpPr>
      <xdr:spPr>
        <a:xfrm>
          <a:off x="5486400" y="54641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14</xdr:row>
      <xdr:rowOff>10319</xdr:rowOff>
    </xdr:from>
    <xdr:to>
      <xdr:col>12</xdr:col>
      <xdr:colOff>231775</xdr:colOff>
      <xdr:row>14</xdr:row>
      <xdr:rowOff>51594</xdr:rowOff>
    </xdr:to>
    <xdr:sp macro="" textlink="">
      <xdr:nvSpPr>
        <xdr:cNvPr id="48956" name="Прямоугольник 48955">
          <a:extLst>
            <a:ext uri="{FF2B5EF4-FFF2-40B4-BE49-F238E27FC236}">
              <a16:creationId xmlns:a16="http://schemas.microsoft.com/office/drawing/2014/main" id="{6A008BF6-F57F-C6B3-7154-8E77D0B067B2}"/>
            </a:ext>
          </a:extLst>
        </xdr:cNvPr>
        <xdr:cNvSpPr/>
      </xdr:nvSpPr>
      <xdr:spPr>
        <a:xfrm>
          <a:off x="6553200" y="22606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23</xdr:row>
      <xdr:rowOff>87709</xdr:rowOff>
    </xdr:from>
    <xdr:to>
      <xdr:col>10</xdr:col>
      <xdr:colOff>379412</xdr:colOff>
      <xdr:row>23</xdr:row>
      <xdr:rowOff>128984</xdr:rowOff>
    </xdr:to>
    <xdr:sp macro="" textlink="">
      <xdr:nvSpPr>
        <xdr:cNvPr id="48957" name="Прямоугольник 48956">
          <a:extLst>
            <a:ext uri="{FF2B5EF4-FFF2-40B4-BE49-F238E27FC236}">
              <a16:creationId xmlns:a16="http://schemas.microsoft.com/office/drawing/2014/main" id="{698D3F19-9544-1E1C-9C4C-AC344A15A658}"/>
            </a:ext>
          </a:extLst>
        </xdr:cNvPr>
        <xdr:cNvSpPr/>
      </xdr:nvSpPr>
      <xdr:spPr>
        <a:xfrm>
          <a:off x="5486400" y="37846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28</xdr:row>
      <xdr:rowOff>144462</xdr:rowOff>
    </xdr:from>
    <xdr:to>
      <xdr:col>10</xdr:col>
      <xdr:colOff>379412</xdr:colOff>
      <xdr:row>29</xdr:row>
      <xdr:rowOff>25003</xdr:rowOff>
    </xdr:to>
    <xdr:sp macro="" textlink="">
      <xdr:nvSpPr>
        <xdr:cNvPr id="48958" name="Прямоугольник 48957">
          <a:extLst>
            <a:ext uri="{FF2B5EF4-FFF2-40B4-BE49-F238E27FC236}">
              <a16:creationId xmlns:a16="http://schemas.microsoft.com/office/drawing/2014/main" id="{0CB6FE2D-FFF3-496F-CF88-72F39AB35199}"/>
            </a:ext>
          </a:extLst>
        </xdr:cNvPr>
        <xdr:cNvSpPr/>
      </xdr:nvSpPr>
      <xdr:spPr>
        <a:xfrm>
          <a:off x="5486400" y="46450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34</xdr:row>
      <xdr:rowOff>40481</xdr:rowOff>
    </xdr:from>
    <xdr:to>
      <xdr:col>10</xdr:col>
      <xdr:colOff>379412</xdr:colOff>
      <xdr:row>34</xdr:row>
      <xdr:rowOff>81756</xdr:rowOff>
    </xdr:to>
    <xdr:sp macro="" textlink="">
      <xdr:nvSpPr>
        <xdr:cNvPr id="48959" name="Прямоугольник 48958">
          <a:extLst>
            <a:ext uri="{FF2B5EF4-FFF2-40B4-BE49-F238E27FC236}">
              <a16:creationId xmlns:a16="http://schemas.microsoft.com/office/drawing/2014/main" id="{1693C767-A7B9-5A0D-CA16-F06E880B1BA3}"/>
            </a:ext>
          </a:extLst>
        </xdr:cNvPr>
        <xdr:cNvSpPr/>
      </xdr:nvSpPr>
      <xdr:spPr>
        <a:xfrm>
          <a:off x="5486400" y="55054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14</xdr:row>
      <xdr:rowOff>51594</xdr:rowOff>
    </xdr:from>
    <xdr:to>
      <xdr:col>12</xdr:col>
      <xdr:colOff>231775</xdr:colOff>
      <xdr:row>14</xdr:row>
      <xdr:rowOff>92869</xdr:rowOff>
    </xdr:to>
    <xdr:sp macro="" textlink="">
      <xdr:nvSpPr>
        <xdr:cNvPr id="48960" name="Прямоугольник 48959">
          <a:extLst>
            <a:ext uri="{FF2B5EF4-FFF2-40B4-BE49-F238E27FC236}">
              <a16:creationId xmlns:a16="http://schemas.microsoft.com/office/drawing/2014/main" id="{B4B87255-2FFE-1651-E37B-0AEA374CEA83}"/>
            </a:ext>
          </a:extLst>
        </xdr:cNvPr>
        <xdr:cNvSpPr/>
      </xdr:nvSpPr>
      <xdr:spPr>
        <a:xfrm>
          <a:off x="6553200" y="23018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23</xdr:row>
      <xdr:rowOff>128984</xdr:rowOff>
    </xdr:from>
    <xdr:to>
      <xdr:col>10</xdr:col>
      <xdr:colOff>379412</xdr:colOff>
      <xdr:row>24</xdr:row>
      <xdr:rowOff>9525</xdr:rowOff>
    </xdr:to>
    <xdr:sp macro="" textlink="">
      <xdr:nvSpPr>
        <xdr:cNvPr id="48961" name="Прямоугольник 48960">
          <a:extLst>
            <a:ext uri="{FF2B5EF4-FFF2-40B4-BE49-F238E27FC236}">
              <a16:creationId xmlns:a16="http://schemas.microsoft.com/office/drawing/2014/main" id="{1C16D8C0-CB88-E364-0EDA-91314341D4D8}"/>
            </a:ext>
          </a:extLst>
        </xdr:cNvPr>
        <xdr:cNvSpPr/>
      </xdr:nvSpPr>
      <xdr:spPr>
        <a:xfrm>
          <a:off x="5486400" y="38258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29</xdr:row>
      <xdr:rowOff>25003</xdr:rowOff>
    </xdr:from>
    <xdr:to>
      <xdr:col>10</xdr:col>
      <xdr:colOff>379412</xdr:colOff>
      <xdr:row>29</xdr:row>
      <xdr:rowOff>66278</xdr:rowOff>
    </xdr:to>
    <xdr:sp macro="" textlink="">
      <xdr:nvSpPr>
        <xdr:cNvPr id="48962" name="Прямоугольник 48961">
          <a:extLst>
            <a:ext uri="{FF2B5EF4-FFF2-40B4-BE49-F238E27FC236}">
              <a16:creationId xmlns:a16="http://schemas.microsoft.com/office/drawing/2014/main" id="{24EB8056-1DEF-2CF2-B3AE-A2B5435EF847}"/>
            </a:ext>
          </a:extLst>
        </xdr:cNvPr>
        <xdr:cNvSpPr/>
      </xdr:nvSpPr>
      <xdr:spPr>
        <a:xfrm>
          <a:off x="5486400" y="46863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21431</xdr:colOff>
      <xdr:row>34</xdr:row>
      <xdr:rowOff>81756</xdr:rowOff>
    </xdr:from>
    <xdr:to>
      <xdr:col>10</xdr:col>
      <xdr:colOff>379412</xdr:colOff>
      <xdr:row>34</xdr:row>
      <xdr:rowOff>123031</xdr:rowOff>
    </xdr:to>
    <xdr:sp macro="" textlink="">
      <xdr:nvSpPr>
        <xdr:cNvPr id="48963" name="Прямоугольник 48962">
          <a:extLst>
            <a:ext uri="{FF2B5EF4-FFF2-40B4-BE49-F238E27FC236}">
              <a16:creationId xmlns:a16="http://schemas.microsoft.com/office/drawing/2014/main" id="{A2EBDD0C-4D13-4C5D-E5A3-7B910101B4F9}"/>
            </a:ext>
          </a:extLst>
        </xdr:cNvPr>
        <xdr:cNvSpPr/>
      </xdr:nvSpPr>
      <xdr:spPr>
        <a:xfrm>
          <a:off x="5486400" y="55467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14</xdr:row>
      <xdr:rowOff>92869</xdr:rowOff>
    </xdr:from>
    <xdr:to>
      <xdr:col>12</xdr:col>
      <xdr:colOff>231775</xdr:colOff>
      <xdr:row>14</xdr:row>
      <xdr:rowOff>134144</xdr:rowOff>
    </xdr:to>
    <xdr:sp macro="" textlink="">
      <xdr:nvSpPr>
        <xdr:cNvPr id="48964" name="Прямоугольник 48963">
          <a:extLst>
            <a:ext uri="{FF2B5EF4-FFF2-40B4-BE49-F238E27FC236}">
              <a16:creationId xmlns:a16="http://schemas.microsoft.com/office/drawing/2014/main" id="{0FD74514-882A-C6B2-2F7F-78A9B7F532F7}"/>
            </a:ext>
          </a:extLst>
        </xdr:cNvPr>
        <xdr:cNvSpPr/>
      </xdr:nvSpPr>
      <xdr:spPr>
        <a:xfrm>
          <a:off x="6553200" y="23431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37</xdr:row>
      <xdr:rowOff>98028</xdr:rowOff>
    </xdr:from>
    <xdr:to>
      <xdr:col>7</xdr:col>
      <xdr:colOff>435769</xdr:colOff>
      <xdr:row>37</xdr:row>
      <xdr:rowOff>139303</xdr:rowOff>
    </xdr:to>
    <xdr:sp macro="" textlink="">
      <xdr:nvSpPr>
        <xdr:cNvPr id="48965" name="Прямоугольник 48964">
          <a:extLst>
            <a:ext uri="{FF2B5EF4-FFF2-40B4-BE49-F238E27FC236}">
              <a16:creationId xmlns:a16="http://schemas.microsoft.com/office/drawing/2014/main" id="{87E99AB5-E05D-72A1-E207-32042D87A89C}"/>
            </a:ext>
          </a:extLst>
        </xdr:cNvPr>
        <xdr:cNvSpPr/>
      </xdr:nvSpPr>
      <xdr:spPr>
        <a:xfrm>
          <a:off x="3721100" y="60452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17</xdr:row>
      <xdr:rowOff>150416</xdr:rowOff>
    </xdr:from>
    <xdr:to>
      <xdr:col>12</xdr:col>
      <xdr:colOff>231775</xdr:colOff>
      <xdr:row>18</xdr:row>
      <xdr:rowOff>30956</xdr:rowOff>
    </xdr:to>
    <xdr:sp macro="" textlink="">
      <xdr:nvSpPr>
        <xdr:cNvPr id="48966" name="Прямоугольник 48965">
          <a:extLst>
            <a:ext uri="{FF2B5EF4-FFF2-40B4-BE49-F238E27FC236}">
              <a16:creationId xmlns:a16="http://schemas.microsoft.com/office/drawing/2014/main" id="{5E4D4963-0D82-585B-267E-839C9BAADFE3}"/>
            </a:ext>
          </a:extLst>
        </xdr:cNvPr>
        <xdr:cNvSpPr/>
      </xdr:nvSpPr>
      <xdr:spPr>
        <a:xfrm>
          <a:off x="6553200" y="28829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21</xdr:row>
      <xdr:rowOff>47228</xdr:rowOff>
    </xdr:from>
    <xdr:to>
      <xdr:col>12</xdr:col>
      <xdr:colOff>231775</xdr:colOff>
      <xdr:row>21</xdr:row>
      <xdr:rowOff>88503</xdr:rowOff>
    </xdr:to>
    <xdr:sp macro="" textlink="">
      <xdr:nvSpPr>
        <xdr:cNvPr id="48967" name="Прямоугольник 48966">
          <a:extLst>
            <a:ext uri="{FF2B5EF4-FFF2-40B4-BE49-F238E27FC236}">
              <a16:creationId xmlns:a16="http://schemas.microsoft.com/office/drawing/2014/main" id="{A4C7F3E7-827D-51AA-94A5-BF28CAD618EF}"/>
            </a:ext>
          </a:extLst>
        </xdr:cNvPr>
        <xdr:cNvSpPr/>
      </xdr:nvSpPr>
      <xdr:spPr>
        <a:xfrm>
          <a:off x="6553200" y="34226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24</xdr:row>
      <xdr:rowOff>104775</xdr:rowOff>
    </xdr:from>
    <xdr:to>
      <xdr:col>12</xdr:col>
      <xdr:colOff>231775</xdr:colOff>
      <xdr:row>24</xdr:row>
      <xdr:rowOff>146050</xdr:rowOff>
    </xdr:to>
    <xdr:sp macro="" textlink="">
      <xdr:nvSpPr>
        <xdr:cNvPr id="48968" name="Прямоугольник 48967">
          <a:extLst>
            <a:ext uri="{FF2B5EF4-FFF2-40B4-BE49-F238E27FC236}">
              <a16:creationId xmlns:a16="http://schemas.microsoft.com/office/drawing/2014/main" id="{70CED11A-3F5C-18BA-1568-81F3422A379C}"/>
            </a:ext>
          </a:extLst>
        </xdr:cNvPr>
        <xdr:cNvSpPr/>
      </xdr:nvSpPr>
      <xdr:spPr>
        <a:xfrm>
          <a:off x="6553200" y="39624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28</xdr:row>
      <xdr:rowOff>1587</xdr:rowOff>
    </xdr:from>
    <xdr:to>
      <xdr:col>12</xdr:col>
      <xdr:colOff>231775</xdr:colOff>
      <xdr:row>28</xdr:row>
      <xdr:rowOff>42862</xdr:rowOff>
    </xdr:to>
    <xdr:sp macro="" textlink="">
      <xdr:nvSpPr>
        <xdr:cNvPr id="48969" name="Прямоугольник 48968">
          <a:extLst>
            <a:ext uri="{FF2B5EF4-FFF2-40B4-BE49-F238E27FC236}">
              <a16:creationId xmlns:a16="http://schemas.microsoft.com/office/drawing/2014/main" id="{A20BED9A-878C-7D44-3B2F-42BF82C78D0A}"/>
            </a:ext>
          </a:extLst>
        </xdr:cNvPr>
        <xdr:cNvSpPr/>
      </xdr:nvSpPr>
      <xdr:spPr>
        <a:xfrm>
          <a:off x="6553200" y="45021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31</xdr:row>
      <xdr:rowOff>59134</xdr:rowOff>
    </xdr:from>
    <xdr:to>
      <xdr:col>12</xdr:col>
      <xdr:colOff>231775</xdr:colOff>
      <xdr:row>31</xdr:row>
      <xdr:rowOff>100409</xdr:rowOff>
    </xdr:to>
    <xdr:sp macro="" textlink="">
      <xdr:nvSpPr>
        <xdr:cNvPr id="48970" name="Прямоугольник 48969">
          <a:extLst>
            <a:ext uri="{FF2B5EF4-FFF2-40B4-BE49-F238E27FC236}">
              <a16:creationId xmlns:a16="http://schemas.microsoft.com/office/drawing/2014/main" id="{F363A128-6F10-FB13-F218-7294C24EF0BE}"/>
            </a:ext>
          </a:extLst>
        </xdr:cNvPr>
        <xdr:cNvSpPr/>
      </xdr:nvSpPr>
      <xdr:spPr>
        <a:xfrm>
          <a:off x="6553200" y="504190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481012</xdr:colOff>
      <xdr:row>34</xdr:row>
      <xdr:rowOff>116681</xdr:rowOff>
    </xdr:from>
    <xdr:to>
      <xdr:col>12</xdr:col>
      <xdr:colOff>231775</xdr:colOff>
      <xdr:row>34</xdr:row>
      <xdr:rowOff>157956</xdr:rowOff>
    </xdr:to>
    <xdr:sp macro="" textlink="">
      <xdr:nvSpPr>
        <xdr:cNvPr id="48971" name="Прямоугольник 48970">
          <a:extLst>
            <a:ext uri="{FF2B5EF4-FFF2-40B4-BE49-F238E27FC236}">
              <a16:creationId xmlns:a16="http://schemas.microsoft.com/office/drawing/2014/main" id="{AA0B23B8-6665-06AF-704D-4C58E0704FA3}"/>
            </a:ext>
          </a:extLst>
        </xdr:cNvPr>
        <xdr:cNvSpPr/>
      </xdr:nvSpPr>
      <xdr:spPr>
        <a:xfrm>
          <a:off x="6553200" y="5581650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12</xdr:row>
      <xdr:rowOff>93662</xdr:rowOff>
    </xdr:from>
    <xdr:to>
      <xdr:col>14</xdr:col>
      <xdr:colOff>84137</xdr:colOff>
      <xdr:row>12</xdr:row>
      <xdr:rowOff>134937</xdr:rowOff>
    </xdr:to>
    <xdr:sp macro="" textlink="">
      <xdr:nvSpPr>
        <xdr:cNvPr id="48972" name="Прямоугольник 48971">
          <a:extLst>
            <a:ext uri="{FF2B5EF4-FFF2-40B4-BE49-F238E27FC236}">
              <a16:creationId xmlns:a16="http://schemas.microsoft.com/office/drawing/2014/main" id="{25E7908D-D347-4675-67E9-21ADE9F90D0C}"/>
            </a:ext>
          </a:extLst>
        </xdr:cNvPr>
        <xdr:cNvSpPr/>
      </xdr:nvSpPr>
      <xdr:spPr>
        <a:xfrm>
          <a:off x="7620000" y="20224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15</xdr:row>
      <xdr:rowOff>151209</xdr:rowOff>
    </xdr:from>
    <xdr:to>
      <xdr:col>14</xdr:col>
      <xdr:colOff>84137</xdr:colOff>
      <xdr:row>16</xdr:row>
      <xdr:rowOff>31750</xdr:rowOff>
    </xdr:to>
    <xdr:sp macro="" textlink="">
      <xdr:nvSpPr>
        <xdr:cNvPr id="48973" name="Прямоугольник 48972">
          <a:extLst>
            <a:ext uri="{FF2B5EF4-FFF2-40B4-BE49-F238E27FC236}">
              <a16:creationId xmlns:a16="http://schemas.microsoft.com/office/drawing/2014/main" id="{36C9555D-D7E1-8435-21DF-8023E0B49523}"/>
            </a:ext>
          </a:extLst>
        </xdr:cNvPr>
        <xdr:cNvSpPr/>
      </xdr:nvSpPr>
      <xdr:spPr>
        <a:xfrm>
          <a:off x="7620000" y="25622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19</xdr:row>
      <xdr:rowOff>48022</xdr:rowOff>
    </xdr:from>
    <xdr:to>
      <xdr:col>14</xdr:col>
      <xdr:colOff>84137</xdr:colOff>
      <xdr:row>19</xdr:row>
      <xdr:rowOff>89297</xdr:rowOff>
    </xdr:to>
    <xdr:sp macro="" textlink="">
      <xdr:nvSpPr>
        <xdr:cNvPr id="48974" name="Прямоугольник 48973">
          <a:extLst>
            <a:ext uri="{FF2B5EF4-FFF2-40B4-BE49-F238E27FC236}">
              <a16:creationId xmlns:a16="http://schemas.microsoft.com/office/drawing/2014/main" id="{5325E9E4-B944-7F35-1C65-56029AD10C60}"/>
            </a:ext>
          </a:extLst>
        </xdr:cNvPr>
        <xdr:cNvSpPr/>
      </xdr:nvSpPr>
      <xdr:spPr>
        <a:xfrm>
          <a:off x="7620000" y="31019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22</xdr:row>
      <xdr:rowOff>105569</xdr:rowOff>
    </xdr:from>
    <xdr:to>
      <xdr:col>14</xdr:col>
      <xdr:colOff>84137</xdr:colOff>
      <xdr:row>22</xdr:row>
      <xdr:rowOff>146844</xdr:rowOff>
    </xdr:to>
    <xdr:sp macro="" textlink="">
      <xdr:nvSpPr>
        <xdr:cNvPr id="48975" name="Прямоугольник 48974">
          <a:extLst>
            <a:ext uri="{FF2B5EF4-FFF2-40B4-BE49-F238E27FC236}">
              <a16:creationId xmlns:a16="http://schemas.microsoft.com/office/drawing/2014/main" id="{FE2BC771-B63E-A267-4377-91E6B8C891ED}"/>
            </a:ext>
          </a:extLst>
        </xdr:cNvPr>
        <xdr:cNvSpPr/>
      </xdr:nvSpPr>
      <xdr:spPr>
        <a:xfrm>
          <a:off x="7620000" y="36417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26</xdr:row>
      <xdr:rowOff>2381</xdr:rowOff>
    </xdr:from>
    <xdr:to>
      <xdr:col>14</xdr:col>
      <xdr:colOff>84137</xdr:colOff>
      <xdr:row>26</xdr:row>
      <xdr:rowOff>43656</xdr:rowOff>
    </xdr:to>
    <xdr:sp macro="" textlink="">
      <xdr:nvSpPr>
        <xdr:cNvPr id="48976" name="Прямоугольник 48975">
          <a:extLst>
            <a:ext uri="{FF2B5EF4-FFF2-40B4-BE49-F238E27FC236}">
              <a16:creationId xmlns:a16="http://schemas.microsoft.com/office/drawing/2014/main" id="{7FDAE13D-199A-E14F-5D94-CB55A93C3495}"/>
            </a:ext>
          </a:extLst>
        </xdr:cNvPr>
        <xdr:cNvSpPr/>
      </xdr:nvSpPr>
      <xdr:spPr>
        <a:xfrm>
          <a:off x="7620000" y="41814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29</xdr:row>
      <xdr:rowOff>59928</xdr:rowOff>
    </xdr:from>
    <xdr:to>
      <xdr:col>14</xdr:col>
      <xdr:colOff>84137</xdr:colOff>
      <xdr:row>29</xdr:row>
      <xdr:rowOff>101203</xdr:rowOff>
    </xdr:to>
    <xdr:sp macro="" textlink="">
      <xdr:nvSpPr>
        <xdr:cNvPr id="48977" name="Прямоугольник 48976">
          <a:extLst>
            <a:ext uri="{FF2B5EF4-FFF2-40B4-BE49-F238E27FC236}">
              <a16:creationId xmlns:a16="http://schemas.microsoft.com/office/drawing/2014/main" id="{D578F88F-EFA0-9E1E-FC2E-4C47B79689FD}"/>
            </a:ext>
          </a:extLst>
        </xdr:cNvPr>
        <xdr:cNvSpPr/>
      </xdr:nvSpPr>
      <xdr:spPr>
        <a:xfrm>
          <a:off x="7620000" y="47212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32</xdr:row>
      <xdr:rowOff>117475</xdr:rowOff>
    </xdr:from>
    <xdr:to>
      <xdr:col>14</xdr:col>
      <xdr:colOff>84137</xdr:colOff>
      <xdr:row>32</xdr:row>
      <xdr:rowOff>158750</xdr:rowOff>
    </xdr:to>
    <xdr:sp macro="" textlink="">
      <xdr:nvSpPr>
        <xdr:cNvPr id="48978" name="Прямоугольник 48977">
          <a:extLst>
            <a:ext uri="{FF2B5EF4-FFF2-40B4-BE49-F238E27FC236}">
              <a16:creationId xmlns:a16="http://schemas.microsoft.com/office/drawing/2014/main" id="{0907CD6D-E952-51D6-857C-68FADF1110C4}"/>
            </a:ext>
          </a:extLst>
        </xdr:cNvPr>
        <xdr:cNvSpPr/>
      </xdr:nvSpPr>
      <xdr:spPr>
        <a:xfrm>
          <a:off x="7620000" y="52609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333375</xdr:colOff>
      <xdr:row>36</xdr:row>
      <xdr:rowOff>14287</xdr:rowOff>
    </xdr:from>
    <xdr:to>
      <xdr:col>14</xdr:col>
      <xdr:colOff>84137</xdr:colOff>
      <xdr:row>36</xdr:row>
      <xdr:rowOff>55562</xdr:rowOff>
    </xdr:to>
    <xdr:sp macro="" textlink="">
      <xdr:nvSpPr>
        <xdr:cNvPr id="48979" name="Прямоугольник 48978">
          <a:extLst>
            <a:ext uri="{FF2B5EF4-FFF2-40B4-BE49-F238E27FC236}">
              <a16:creationId xmlns:a16="http://schemas.microsoft.com/office/drawing/2014/main" id="{0B10FDA7-5458-BD20-B879-A77659A3F453}"/>
            </a:ext>
          </a:extLst>
        </xdr:cNvPr>
        <xdr:cNvSpPr/>
      </xdr:nvSpPr>
      <xdr:spPr>
        <a:xfrm>
          <a:off x="7620000" y="58007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12</xdr:row>
      <xdr:rowOff>93662</xdr:rowOff>
    </xdr:from>
    <xdr:to>
      <xdr:col>15</xdr:col>
      <xdr:colOff>543719</xdr:colOff>
      <xdr:row>12</xdr:row>
      <xdr:rowOff>134937</xdr:rowOff>
    </xdr:to>
    <xdr:sp macro="" textlink="">
      <xdr:nvSpPr>
        <xdr:cNvPr id="48980" name="Прямоугольник 48979">
          <a:extLst>
            <a:ext uri="{FF2B5EF4-FFF2-40B4-BE49-F238E27FC236}">
              <a16:creationId xmlns:a16="http://schemas.microsoft.com/office/drawing/2014/main" id="{48D49B92-664E-6658-795F-F9F40575BC25}"/>
            </a:ext>
          </a:extLst>
        </xdr:cNvPr>
        <xdr:cNvSpPr/>
      </xdr:nvSpPr>
      <xdr:spPr>
        <a:xfrm>
          <a:off x="8686800" y="20224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15</xdr:row>
      <xdr:rowOff>151209</xdr:rowOff>
    </xdr:from>
    <xdr:to>
      <xdr:col>15</xdr:col>
      <xdr:colOff>543719</xdr:colOff>
      <xdr:row>16</xdr:row>
      <xdr:rowOff>31750</xdr:rowOff>
    </xdr:to>
    <xdr:sp macro="" textlink="">
      <xdr:nvSpPr>
        <xdr:cNvPr id="48981" name="Прямоугольник 48980">
          <a:extLst>
            <a:ext uri="{FF2B5EF4-FFF2-40B4-BE49-F238E27FC236}">
              <a16:creationId xmlns:a16="http://schemas.microsoft.com/office/drawing/2014/main" id="{C2305FA1-B5D5-58FA-7781-55EFD7FAD90E}"/>
            </a:ext>
          </a:extLst>
        </xdr:cNvPr>
        <xdr:cNvSpPr/>
      </xdr:nvSpPr>
      <xdr:spPr>
        <a:xfrm>
          <a:off x="8686800" y="25622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19</xdr:row>
      <xdr:rowOff>48022</xdr:rowOff>
    </xdr:from>
    <xdr:to>
      <xdr:col>15</xdr:col>
      <xdr:colOff>543719</xdr:colOff>
      <xdr:row>19</xdr:row>
      <xdr:rowOff>89297</xdr:rowOff>
    </xdr:to>
    <xdr:sp macro="" textlink="">
      <xdr:nvSpPr>
        <xdr:cNvPr id="48982" name="Прямоугольник 48981">
          <a:extLst>
            <a:ext uri="{FF2B5EF4-FFF2-40B4-BE49-F238E27FC236}">
              <a16:creationId xmlns:a16="http://schemas.microsoft.com/office/drawing/2014/main" id="{8C9DEBF4-5C02-BB7F-240E-7A0B209CBC20}"/>
            </a:ext>
          </a:extLst>
        </xdr:cNvPr>
        <xdr:cNvSpPr/>
      </xdr:nvSpPr>
      <xdr:spPr>
        <a:xfrm>
          <a:off x="8686800" y="31019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22</xdr:row>
      <xdr:rowOff>105569</xdr:rowOff>
    </xdr:from>
    <xdr:to>
      <xdr:col>15</xdr:col>
      <xdr:colOff>543719</xdr:colOff>
      <xdr:row>22</xdr:row>
      <xdr:rowOff>146844</xdr:rowOff>
    </xdr:to>
    <xdr:sp macro="" textlink="">
      <xdr:nvSpPr>
        <xdr:cNvPr id="48983" name="Прямоугольник 48982">
          <a:extLst>
            <a:ext uri="{FF2B5EF4-FFF2-40B4-BE49-F238E27FC236}">
              <a16:creationId xmlns:a16="http://schemas.microsoft.com/office/drawing/2014/main" id="{9183C02F-1BF2-34ED-EE85-42C2320356E4}"/>
            </a:ext>
          </a:extLst>
        </xdr:cNvPr>
        <xdr:cNvSpPr/>
      </xdr:nvSpPr>
      <xdr:spPr>
        <a:xfrm>
          <a:off x="8686800" y="36417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26</xdr:row>
      <xdr:rowOff>2381</xdr:rowOff>
    </xdr:from>
    <xdr:to>
      <xdr:col>15</xdr:col>
      <xdr:colOff>543719</xdr:colOff>
      <xdr:row>26</xdr:row>
      <xdr:rowOff>43656</xdr:rowOff>
    </xdr:to>
    <xdr:sp macro="" textlink="">
      <xdr:nvSpPr>
        <xdr:cNvPr id="48984" name="Прямоугольник 48983">
          <a:extLst>
            <a:ext uri="{FF2B5EF4-FFF2-40B4-BE49-F238E27FC236}">
              <a16:creationId xmlns:a16="http://schemas.microsoft.com/office/drawing/2014/main" id="{55F74E96-953E-CB21-B8C3-79AE9AE94548}"/>
            </a:ext>
          </a:extLst>
        </xdr:cNvPr>
        <xdr:cNvSpPr/>
      </xdr:nvSpPr>
      <xdr:spPr>
        <a:xfrm>
          <a:off x="8686800" y="41814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29</xdr:row>
      <xdr:rowOff>59928</xdr:rowOff>
    </xdr:from>
    <xdr:to>
      <xdr:col>15</xdr:col>
      <xdr:colOff>543719</xdr:colOff>
      <xdr:row>29</xdr:row>
      <xdr:rowOff>101203</xdr:rowOff>
    </xdr:to>
    <xdr:sp macro="" textlink="">
      <xdr:nvSpPr>
        <xdr:cNvPr id="48985" name="Прямоугольник 48984">
          <a:extLst>
            <a:ext uri="{FF2B5EF4-FFF2-40B4-BE49-F238E27FC236}">
              <a16:creationId xmlns:a16="http://schemas.microsoft.com/office/drawing/2014/main" id="{FD54E145-864B-210E-DB18-8045537F45B1}"/>
            </a:ext>
          </a:extLst>
        </xdr:cNvPr>
        <xdr:cNvSpPr/>
      </xdr:nvSpPr>
      <xdr:spPr>
        <a:xfrm>
          <a:off x="8686800" y="47212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32</xdr:row>
      <xdr:rowOff>117475</xdr:rowOff>
    </xdr:from>
    <xdr:to>
      <xdr:col>15</xdr:col>
      <xdr:colOff>543719</xdr:colOff>
      <xdr:row>32</xdr:row>
      <xdr:rowOff>158750</xdr:rowOff>
    </xdr:to>
    <xdr:sp macro="" textlink="">
      <xdr:nvSpPr>
        <xdr:cNvPr id="48986" name="Прямоугольник 48985">
          <a:extLst>
            <a:ext uri="{FF2B5EF4-FFF2-40B4-BE49-F238E27FC236}">
              <a16:creationId xmlns:a16="http://schemas.microsoft.com/office/drawing/2014/main" id="{E67BD4E8-5B72-AF2D-040D-89E440CEB50F}"/>
            </a:ext>
          </a:extLst>
        </xdr:cNvPr>
        <xdr:cNvSpPr/>
      </xdr:nvSpPr>
      <xdr:spPr>
        <a:xfrm>
          <a:off x="8686800" y="526097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185737</xdr:colOff>
      <xdr:row>36</xdr:row>
      <xdr:rowOff>14287</xdr:rowOff>
    </xdr:from>
    <xdr:to>
      <xdr:col>15</xdr:col>
      <xdr:colOff>543719</xdr:colOff>
      <xdr:row>36</xdr:row>
      <xdr:rowOff>55562</xdr:rowOff>
    </xdr:to>
    <xdr:sp macro="" textlink="">
      <xdr:nvSpPr>
        <xdr:cNvPr id="48987" name="Прямоугольник 48986">
          <a:extLst>
            <a:ext uri="{FF2B5EF4-FFF2-40B4-BE49-F238E27FC236}">
              <a16:creationId xmlns:a16="http://schemas.microsoft.com/office/drawing/2014/main" id="{73B0E90E-CBE6-3701-B82C-DDF1DA8CEDB5}"/>
            </a:ext>
          </a:extLst>
        </xdr:cNvPr>
        <xdr:cNvSpPr/>
      </xdr:nvSpPr>
      <xdr:spPr>
        <a:xfrm>
          <a:off x="8686800" y="5800725"/>
          <a:ext cx="965200" cy="41275"/>
        </a:xfrm>
        <a:prstGeom prst="rect">
          <a:avLst/>
        </a:prstGeom>
        <a:solidFill>
          <a:srgbClr val="F7B6D2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20</xdr:row>
      <xdr:rowOff>17462</xdr:rowOff>
    </xdr:from>
    <xdr:to>
      <xdr:col>2</xdr:col>
      <xdr:colOff>271462</xdr:colOff>
      <xdr:row>20</xdr:row>
      <xdr:rowOff>58737</xdr:rowOff>
    </xdr:to>
    <xdr:sp macro="" textlink="">
      <xdr:nvSpPr>
        <xdr:cNvPr id="48988" name="Прямоугольник 48987">
          <a:extLst>
            <a:ext uri="{FF2B5EF4-FFF2-40B4-BE49-F238E27FC236}">
              <a16:creationId xmlns:a16="http://schemas.microsoft.com/office/drawing/2014/main" id="{2F2E603E-0FE0-F1C4-9D79-CD58C4DA61D5}"/>
            </a:ext>
          </a:extLst>
        </xdr:cNvPr>
        <xdr:cNvSpPr/>
      </xdr:nvSpPr>
      <xdr:spPr>
        <a:xfrm>
          <a:off x="520700" y="32321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20</xdr:row>
      <xdr:rowOff>58737</xdr:rowOff>
    </xdr:from>
    <xdr:to>
      <xdr:col>2</xdr:col>
      <xdr:colOff>271462</xdr:colOff>
      <xdr:row>20</xdr:row>
      <xdr:rowOff>100012</xdr:rowOff>
    </xdr:to>
    <xdr:sp macro="" textlink="">
      <xdr:nvSpPr>
        <xdr:cNvPr id="48989" name="Прямоугольник 48988">
          <a:extLst>
            <a:ext uri="{FF2B5EF4-FFF2-40B4-BE49-F238E27FC236}">
              <a16:creationId xmlns:a16="http://schemas.microsoft.com/office/drawing/2014/main" id="{7E4A34E1-D6A1-7658-D6DB-1227447AC469}"/>
            </a:ext>
          </a:extLst>
        </xdr:cNvPr>
        <xdr:cNvSpPr/>
      </xdr:nvSpPr>
      <xdr:spPr>
        <a:xfrm>
          <a:off x="520700" y="32734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20</xdr:row>
      <xdr:rowOff>100012</xdr:rowOff>
    </xdr:from>
    <xdr:to>
      <xdr:col>2</xdr:col>
      <xdr:colOff>271462</xdr:colOff>
      <xdr:row>20</xdr:row>
      <xdr:rowOff>141287</xdr:rowOff>
    </xdr:to>
    <xdr:sp macro="" textlink="">
      <xdr:nvSpPr>
        <xdr:cNvPr id="48990" name="Прямоугольник 48989">
          <a:extLst>
            <a:ext uri="{FF2B5EF4-FFF2-40B4-BE49-F238E27FC236}">
              <a16:creationId xmlns:a16="http://schemas.microsoft.com/office/drawing/2014/main" id="{71E92BB7-9C95-9649-4FE9-E89E50463F7A}"/>
            </a:ext>
          </a:extLst>
        </xdr:cNvPr>
        <xdr:cNvSpPr/>
      </xdr:nvSpPr>
      <xdr:spPr>
        <a:xfrm>
          <a:off x="520700" y="33147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20</xdr:row>
      <xdr:rowOff>141287</xdr:rowOff>
    </xdr:from>
    <xdr:to>
      <xdr:col>2</xdr:col>
      <xdr:colOff>271462</xdr:colOff>
      <xdr:row>21</xdr:row>
      <xdr:rowOff>21828</xdr:rowOff>
    </xdr:to>
    <xdr:sp macro="" textlink="">
      <xdr:nvSpPr>
        <xdr:cNvPr id="48991" name="Прямоугольник 48990">
          <a:extLst>
            <a:ext uri="{FF2B5EF4-FFF2-40B4-BE49-F238E27FC236}">
              <a16:creationId xmlns:a16="http://schemas.microsoft.com/office/drawing/2014/main" id="{988CD6E6-CAA0-F234-E3FC-1F6FBE6C4E64}"/>
            </a:ext>
          </a:extLst>
        </xdr:cNvPr>
        <xdr:cNvSpPr/>
      </xdr:nvSpPr>
      <xdr:spPr>
        <a:xfrm>
          <a:off x="520700" y="33559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21</xdr:row>
      <xdr:rowOff>21828</xdr:rowOff>
    </xdr:from>
    <xdr:to>
      <xdr:col>2</xdr:col>
      <xdr:colOff>271462</xdr:colOff>
      <xdr:row>21</xdr:row>
      <xdr:rowOff>63103</xdr:rowOff>
    </xdr:to>
    <xdr:sp macro="" textlink="">
      <xdr:nvSpPr>
        <xdr:cNvPr id="48992" name="Прямоугольник 48991">
          <a:extLst>
            <a:ext uri="{FF2B5EF4-FFF2-40B4-BE49-F238E27FC236}">
              <a16:creationId xmlns:a16="http://schemas.microsoft.com/office/drawing/2014/main" id="{67BD108E-EFA9-52C7-D7B4-CA0A99597766}"/>
            </a:ext>
          </a:extLst>
        </xdr:cNvPr>
        <xdr:cNvSpPr/>
      </xdr:nvSpPr>
      <xdr:spPr>
        <a:xfrm>
          <a:off x="520700" y="33972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21</xdr:row>
      <xdr:rowOff>63103</xdr:rowOff>
    </xdr:from>
    <xdr:to>
      <xdr:col>2</xdr:col>
      <xdr:colOff>271462</xdr:colOff>
      <xdr:row>21</xdr:row>
      <xdr:rowOff>104378</xdr:rowOff>
    </xdr:to>
    <xdr:sp macro="" textlink="">
      <xdr:nvSpPr>
        <xdr:cNvPr id="48993" name="Прямоугольник 48992">
          <a:extLst>
            <a:ext uri="{FF2B5EF4-FFF2-40B4-BE49-F238E27FC236}">
              <a16:creationId xmlns:a16="http://schemas.microsoft.com/office/drawing/2014/main" id="{964E408F-4F67-1CB6-974A-E58D970BC661}"/>
            </a:ext>
          </a:extLst>
        </xdr:cNvPr>
        <xdr:cNvSpPr/>
      </xdr:nvSpPr>
      <xdr:spPr>
        <a:xfrm>
          <a:off x="520700" y="34385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21</xdr:row>
      <xdr:rowOff>104378</xdr:rowOff>
    </xdr:from>
    <xdr:to>
      <xdr:col>2</xdr:col>
      <xdr:colOff>271462</xdr:colOff>
      <xdr:row>21</xdr:row>
      <xdr:rowOff>145653</xdr:rowOff>
    </xdr:to>
    <xdr:sp macro="" textlink="">
      <xdr:nvSpPr>
        <xdr:cNvPr id="48994" name="Прямоугольник 48993">
          <a:extLst>
            <a:ext uri="{FF2B5EF4-FFF2-40B4-BE49-F238E27FC236}">
              <a16:creationId xmlns:a16="http://schemas.microsoft.com/office/drawing/2014/main" id="{4B49FD41-5B34-A1BE-F567-64D6F0B4595C}"/>
            </a:ext>
          </a:extLst>
        </xdr:cNvPr>
        <xdr:cNvSpPr/>
      </xdr:nvSpPr>
      <xdr:spPr>
        <a:xfrm>
          <a:off x="520700" y="34798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21</xdr:row>
      <xdr:rowOff>145653</xdr:rowOff>
    </xdr:from>
    <xdr:to>
      <xdr:col>2</xdr:col>
      <xdr:colOff>271462</xdr:colOff>
      <xdr:row>22</xdr:row>
      <xdr:rowOff>26194</xdr:rowOff>
    </xdr:to>
    <xdr:sp macro="" textlink="">
      <xdr:nvSpPr>
        <xdr:cNvPr id="48995" name="Прямоугольник 48994">
          <a:extLst>
            <a:ext uri="{FF2B5EF4-FFF2-40B4-BE49-F238E27FC236}">
              <a16:creationId xmlns:a16="http://schemas.microsoft.com/office/drawing/2014/main" id="{BF6C5191-2A75-4E9F-AF0C-1DE62E24BB16}"/>
            </a:ext>
          </a:extLst>
        </xdr:cNvPr>
        <xdr:cNvSpPr/>
      </xdr:nvSpPr>
      <xdr:spPr>
        <a:xfrm>
          <a:off x="520700" y="35210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20</xdr:row>
      <xdr:rowOff>17462</xdr:rowOff>
    </xdr:from>
    <xdr:to>
      <xdr:col>4</xdr:col>
      <xdr:colOff>123825</xdr:colOff>
      <xdr:row>20</xdr:row>
      <xdr:rowOff>58737</xdr:rowOff>
    </xdr:to>
    <xdr:sp macro="" textlink="">
      <xdr:nvSpPr>
        <xdr:cNvPr id="48996" name="Прямоугольник 48995">
          <a:extLst>
            <a:ext uri="{FF2B5EF4-FFF2-40B4-BE49-F238E27FC236}">
              <a16:creationId xmlns:a16="http://schemas.microsoft.com/office/drawing/2014/main" id="{B1A57BA7-7056-9F67-E1FD-F3627FBA560C}"/>
            </a:ext>
          </a:extLst>
        </xdr:cNvPr>
        <xdr:cNvSpPr/>
      </xdr:nvSpPr>
      <xdr:spPr>
        <a:xfrm>
          <a:off x="1587500" y="32321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20</xdr:row>
      <xdr:rowOff>58737</xdr:rowOff>
    </xdr:from>
    <xdr:to>
      <xdr:col>4</xdr:col>
      <xdr:colOff>123825</xdr:colOff>
      <xdr:row>20</xdr:row>
      <xdr:rowOff>100012</xdr:rowOff>
    </xdr:to>
    <xdr:sp macro="" textlink="">
      <xdr:nvSpPr>
        <xdr:cNvPr id="48997" name="Прямоугольник 48996">
          <a:extLst>
            <a:ext uri="{FF2B5EF4-FFF2-40B4-BE49-F238E27FC236}">
              <a16:creationId xmlns:a16="http://schemas.microsoft.com/office/drawing/2014/main" id="{6F9EFAC7-646D-3DB2-8111-7D669DEEBE3A}"/>
            </a:ext>
          </a:extLst>
        </xdr:cNvPr>
        <xdr:cNvSpPr/>
      </xdr:nvSpPr>
      <xdr:spPr>
        <a:xfrm>
          <a:off x="1587500" y="32734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20</xdr:row>
      <xdr:rowOff>100012</xdr:rowOff>
    </xdr:from>
    <xdr:to>
      <xdr:col>4</xdr:col>
      <xdr:colOff>123825</xdr:colOff>
      <xdr:row>20</xdr:row>
      <xdr:rowOff>141287</xdr:rowOff>
    </xdr:to>
    <xdr:sp macro="" textlink="">
      <xdr:nvSpPr>
        <xdr:cNvPr id="48998" name="Прямоугольник 48997">
          <a:extLst>
            <a:ext uri="{FF2B5EF4-FFF2-40B4-BE49-F238E27FC236}">
              <a16:creationId xmlns:a16="http://schemas.microsoft.com/office/drawing/2014/main" id="{FC81FED6-FF6B-1FBF-CA04-46B35A2BB2F2}"/>
            </a:ext>
          </a:extLst>
        </xdr:cNvPr>
        <xdr:cNvSpPr/>
      </xdr:nvSpPr>
      <xdr:spPr>
        <a:xfrm>
          <a:off x="1587500" y="33147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20</xdr:row>
      <xdr:rowOff>141287</xdr:rowOff>
    </xdr:from>
    <xdr:to>
      <xdr:col>4</xdr:col>
      <xdr:colOff>123825</xdr:colOff>
      <xdr:row>21</xdr:row>
      <xdr:rowOff>21828</xdr:rowOff>
    </xdr:to>
    <xdr:sp macro="" textlink="">
      <xdr:nvSpPr>
        <xdr:cNvPr id="48999" name="Прямоугольник 48998">
          <a:extLst>
            <a:ext uri="{FF2B5EF4-FFF2-40B4-BE49-F238E27FC236}">
              <a16:creationId xmlns:a16="http://schemas.microsoft.com/office/drawing/2014/main" id="{59F98D57-432C-B243-817E-6C1C7B96E7D0}"/>
            </a:ext>
          </a:extLst>
        </xdr:cNvPr>
        <xdr:cNvSpPr/>
      </xdr:nvSpPr>
      <xdr:spPr>
        <a:xfrm>
          <a:off x="1587500" y="33559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21</xdr:row>
      <xdr:rowOff>21828</xdr:rowOff>
    </xdr:from>
    <xdr:to>
      <xdr:col>4</xdr:col>
      <xdr:colOff>123825</xdr:colOff>
      <xdr:row>21</xdr:row>
      <xdr:rowOff>63103</xdr:rowOff>
    </xdr:to>
    <xdr:sp macro="" textlink="">
      <xdr:nvSpPr>
        <xdr:cNvPr id="49000" name="Прямоугольник 48999">
          <a:extLst>
            <a:ext uri="{FF2B5EF4-FFF2-40B4-BE49-F238E27FC236}">
              <a16:creationId xmlns:a16="http://schemas.microsoft.com/office/drawing/2014/main" id="{FD8ECA3E-3EE2-7BC9-E992-35F1705B3895}"/>
            </a:ext>
          </a:extLst>
        </xdr:cNvPr>
        <xdr:cNvSpPr/>
      </xdr:nvSpPr>
      <xdr:spPr>
        <a:xfrm>
          <a:off x="1587500" y="33972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21</xdr:row>
      <xdr:rowOff>63103</xdr:rowOff>
    </xdr:from>
    <xdr:to>
      <xdr:col>4</xdr:col>
      <xdr:colOff>123825</xdr:colOff>
      <xdr:row>21</xdr:row>
      <xdr:rowOff>104378</xdr:rowOff>
    </xdr:to>
    <xdr:sp macro="" textlink="">
      <xdr:nvSpPr>
        <xdr:cNvPr id="49001" name="Прямоугольник 49000">
          <a:extLst>
            <a:ext uri="{FF2B5EF4-FFF2-40B4-BE49-F238E27FC236}">
              <a16:creationId xmlns:a16="http://schemas.microsoft.com/office/drawing/2014/main" id="{270E3B1D-FB12-3C63-5F7A-F4CCBFA288E8}"/>
            </a:ext>
          </a:extLst>
        </xdr:cNvPr>
        <xdr:cNvSpPr/>
      </xdr:nvSpPr>
      <xdr:spPr>
        <a:xfrm>
          <a:off x="1587500" y="34385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21</xdr:row>
      <xdr:rowOff>104378</xdr:rowOff>
    </xdr:from>
    <xdr:to>
      <xdr:col>4</xdr:col>
      <xdr:colOff>123825</xdr:colOff>
      <xdr:row>21</xdr:row>
      <xdr:rowOff>145653</xdr:rowOff>
    </xdr:to>
    <xdr:sp macro="" textlink="">
      <xdr:nvSpPr>
        <xdr:cNvPr id="49002" name="Прямоугольник 49001">
          <a:extLst>
            <a:ext uri="{FF2B5EF4-FFF2-40B4-BE49-F238E27FC236}">
              <a16:creationId xmlns:a16="http://schemas.microsoft.com/office/drawing/2014/main" id="{1E942CE1-6FEC-F9C2-69A2-181B1B28CED8}"/>
            </a:ext>
          </a:extLst>
        </xdr:cNvPr>
        <xdr:cNvSpPr/>
      </xdr:nvSpPr>
      <xdr:spPr>
        <a:xfrm>
          <a:off x="1587500" y="34798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21</xdr:row>
      <xdr:rowOff>145653</xdr:rowOff>
    </xdr:from>
    <xdr:to>
      <xdr:col>4</xdr:col>
      <xdr:colOff>123825</xdr:colOff>
      <xdr:row>22</xdr:row>
      <xdr:rowOff>26194</xdr:rowOff>
    </xdr:to>
    <xdr:sp macro="" textlink="">
      <xdr:nvSpPr>
        <xdr:cNvPr id="49003" name="Прямоугольник 49002">
          <a:extLst>
            <a:ext uri="{FF2B5EF4-FFF2-40B4-BE49-F238E27FC236}">
              <a16:creationId xmlns:a16="http://schemas.microsoft.com/office/drawing/2014/main" id="{C491538F-27BA-BD32-BB6B-2F5A5462DA7D}"/>
            </a:ext>
          </a:extLst>
        </xdr:cNvPr>
        <xdr:cNvSpPr/>
      </xdr:nvSpPr>
      <xdr:spPr>
        <a:xfrm>
          <a:off x="1587500" y="35210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20</xdr:row>
      <xdr:rowOff>17462</xdr:rowOff>
    </xdr:from>
    <xdr:to>
      <xdr:col>5</xdr:col>
      <xdr:colOff>583406</xdr:colOff>
      <xdr:row>20</xdr:row>
      <xdr:rowOff>58737</xdr:rowOff>
    </xdr:to>
    <xdr:sp macro="" textlink="">
      <xdr:nvSpPr>
        <xdr:cNvPr id="49004" name="Прямоугольник 49003">
          <a:extLst>
            <a:ext uri="{FF2B5EF4-FFF2-40B4-BE49-F238E27FC236}">
              <a16:creationId xmlns:a16="http://schemas.microsoft.com/office/drawing/2014/main" id="{D5EF24AB-4CD9-60DB-BD75-E82EEC98AE62}"/>
            </a:ext>
          </a:extLst>
        </xdr:cNvPr>
        <xdr:cNvSpPr/>
      </xdr:nvSpPr>
      <xdr:spPr>
        <a:xfrm>
          <a:off x="2654300" y="32321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20</xdr:row>
      <xdr:rowOff>58737</xdr:rowOff>
    </xdr:from>
    <xdr:to>
      <xdr:col>5</xdr:col>
      <xdr:colOff>583406</xdr:colOff>
      <xdr:row>20</xdr:row>
      <xdr:rowOff>100012</xdr:rowOff>
    </xdr:to>
    <xdr:sp macro="" textlink="">
      <xdr:nvSpPr>
        <xdr:cNvPr id="49005" name="Прямоугольник 49004">
          <a:extLst>
            <a:ext uri="{FF2B5EF4-FFF2-40B4-BE49-F238E27FC236}">
              <a16:creationId xmlns:a16="http://schemas.microsoft.com/office/drawing/2014/main" id="{0BDD6907-1EFB-EDBE-AE08-E66D2F559222}"/>
            </a:ext>
          </a:extLst>
        </xdr:cNvPr>
        <xdr:cNvSpPr/>
      </xdr:nvSpPr>
      <xdr:spPr>
        <a:xfrm>
          <a:off x="2654300" y="32734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20</xdr:row>
      <xdr:rowOff>100012</xdr:rowOff>
    </xdr:from>
    <xdr:to>
      <xdr:col>5</xdr:col>
      <xdr:colOff>583406</xdr:colOff>
      <xdr:row>20</xdr:row>
      <xdr:rowOff>141287</xdr:rowOff>
    </xdr:to>
    <xdr:sp macro="" textlink="">
      <xdr:nvSpPr>
        <xdr:cNvPr id="49006" name="Прямоугольник 49005">
          <a:extLst>
            <a:ext uri="{FF2B5EF4-FFF2-40B4-BE49-F238E27FC236}">
              <a16:creationId xmlns:a16="http://schemas.microsoft.com/office/drawing/2014/main" id="{81639065-8CB7-FF0F-24B5-964A1206D3BE}"/>
            </a:ext>
          </a:extLst>
        </xdr:cNvPr>
        <xdr:cNvSpPr/>
      </xdr:nvSpPr>
      <xdr:spPr>
        <a:xfrm>
          <a:off x="2654300" y="33147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20</xdr:row>
      <xdr:rowOff>141287</xdr:rowOff>
    </xdr:from>
    <xdr:to>
      <xdr:col>5</xdr:col>
      <xdr:colOff>583406</xdr:colOff>
      <xdr:row>21</xdr:row>
      <xdr:rowOff>21828</xdr:rowOff>
    </xdr:to>
    <xdr:sp macro="" textlink="">
      <xdr:nvSpPr>
        <xdr:cNvPr id="49007" name="Прямоугольник 49006">
          <a:extLst>
            <a:ext uri="{FF2B5EF4-FFF2-40B4-BE49-F238E27FC236}">
              <a16:creationId xmlns:a16="http://schemas.microsoft.com/office/drawing/2014/main" id="{4805CC71-5AB9-8154-581E-5F386ED850C3}"/>
            </a:ext>
          </a:extLst>
        </xdr:cNvPr>
        <xdr:cNvSpPr/>
      </xdr:nvSpPr>
      <xdr:spPr>
        <a:xfrm>
          <a:off x="2654300" y="33559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21</xdr:row>
      <xdr:rowOff>21828</xdr:rowOff>
    </xdr:from>
    <xdr:to>
      <xdr:col>5</xdr:col>
      <xdr:colOff>583406</xdr:colOff>
      <xdr:row>21</xdr:row>
      <xdr:rowOff>63103</xdr:rowOff>
    </xdr:to>
    <xdr:sp macro="" textlink="">
      <xdr:nvSpPr>
        <xdr:cNvPr id="49008" name="Прямоугольник 49007">
          <a:extLst>
            <a:ext uri="{FF2B5EF4-FFF2-40B4-BE49-F238E27FC236}">
              <a16:creationId xmlns:a16="http://schemas.microsoft.com/office/drawing/2014/main" id="{E6FBD23B-1F40-3611-AB76-4E8EB0EDBD45}"/>
            </a:ext>
          </a:extLst>
        </xdr:cNvPr>
        <xdr:cNvSpPr/>
      </xdr:nvSpPr>
      <xdr:spPr>
        <a:xfrm>
          <a:off x="2654300" y="33972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16</xdr:row>
      <xdr:rowOff>12700</xdr:rowOff>
    </xdr:from>
    <xdr:to>
      <xdr:col>2</xdr:col>
      <xdr:colOff>271462</xdr:colOff>
      <xdr:row>16</xdr:row>
      <xdr:rowOff>53975</xdr:rowOff>
    </xdr:to>
    <xdr:sp macro="" textlink="">
      <xdr:nvSpPr>
        <xdr:cNvPr id="49009" name="Прямоугольник 49008">
          <a:extLst>
            <a:ext uri="{FF2B5EF4-FFF2-40B4-BE49-F238E27FC236}">
              <a16:creationId xmlns:a16="http://schemas.microsoft.com/office/drawing/2014/main" id="{67BAC4CF-72E9-93A9-73D9-0B2E81080CC3}"/>
            </a:ext>
          </a:extLst>
        </xdr:cNvPr>
        <xdr:cNvSpPr/>
      </xdr:nvSpPr>
      <xdr:spPr>
        <a:xfrm>
          <a:off x="520700" y="25844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16</xdr:row>
      <xdr:rowOff>53975</xdr:rowOff>
    </xdr:from>
    <xdr:to>
      <xdr:col>2</xdr:col>
      <xdr:colOff>271462</xdr:colOff>
      <xdr:row>16</xdr:row>
      <xdr:rowOff>95250</xdr:rowOff>
    </xdr:to>
    <xdr:sp macro="" textlink="">
      <xdr:nvSpPr>
        <xdr:cNvPr id="49010" name="Прямоугольник 49009">
          <a:extLst>
            <a:ext uri="{FF2B5EF4-FFF2-40B4-BE49-F238E27FC236}">
              <a16:creationId xmlns:a16="http://schemas.microsoft.com/office/drawing/2014/main" id="{DB238A66-D181-82EE-5762-51E20B6C41EC}"/>
            </a:ext>
          </a:extLst>
        </xdr:cNvPr>
        <xdr:cNvSpPr/>
      </xdr:nvSpPr>
      <xdr:spPr>
        <a:xfrm>
          <a:off x="520700" y="26257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16</xdr:row>
      <xdr:rowOff>95250</xdr:rowOff>
    </xdr:from>
    <xdr:to>
      <xdr:col>2</xdr:col>
      <xdr:colOff>271462</xdr:colOff>
      <xdr:row>16</xdr:row>
      <xdr:rowOff>136525</xdr:rowOff>
    </xdr:to>
    <xdr:sp macro="" textlink="">
      <xdr:nvSpPr>
        <xdr:cNvPr id="49011" name="Прямоугольник 49010">
          <a:extLst>
            <a:ext uri="{FF2B5EF4-FFF2-40B4-BE49-F238E27FC236}">
              <a16:creationId xmlns:a16="http://schemas.microsoft.com/office/drawing/2014/main" id="{5614AA84-7655-7D57-6771-CE5354C8D379}"/>
            </a:ext>
          </a:extLst>
        </xdr:cNvPr>
        <xdr:cNvSpPr/>
      </xdr:nvSpPr>
      <xdr:spPr>
        <a:xfrm>
          <a:off x="520700" y="26670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16</xdr:row>
      <xdr:rowOff>136525</xdr:rowOff>
    </xdr:from>
    <xdr:to>
      <xdr:col>2</xdr:col>
      <xdr:colOff>271462</xdr:colOff>
      <xdr:row>17</xdr:row>
      <xdr:rowOff>17066</xdr:rowOff>
    </xdr:to>
    <xdr:sp macro="" textlink="">
      <xdr:nvSpPr>
        <xdr:cNvPr id="49012" name="Прямоугольник 49011">
          <a:extLst>
            <a:ext uri="{FF2B5EF4-FFF2-40B4-BE49-F238E27FC236}">
              <a16:creationId xmlns:a16="http://schemas.microsoft.com/office/drawing/2014/main" id="{2971482E-FCA9-E20E-D7E3-381F6FE82483}"/>
            </a:ext>
          </a:extLst>
        </xdr:cNvPr>
        <xdr:cNvSpPr/>
      </xdr:nvSpPr>
      <xdr:spPr>
        <a:xfrm>
          <a:off x="520700" y="27082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17</xdr:row>
      <xdr:rowOff>17066</xdr:rowOff>
    </xdr:from>
    <xdr:to>
      <xdr:col>2</xdr:col>
      <xdr:colOff>271462</xdr:colOff>
      <xdr:row>17</xdr:row>
      <xdr:rowOff>58341</xdr:rowOff>
    </xdr:to>
    <xdr:sp macro="" textlink="">
      <xdr:nvSpPr>
        <xdr:cNvPr id="49013" name="Прямоугольник 49012">
          <a:extLst>
            <a:ext uri="{FF2B5EF4-FFF2-40B4-BE49-F238E27FC236}">
              <a16:creationId xmlns:a16="http://schemas.microsoft.com/office/drawing/2014/main" id="{193978B5-5391-A90D-B10F-6A0E7E82DFB3}"/>
            </a:ext>
          </a:extLst>
        </xdr:cNvPr>
        <xdr:cNvSpPr/>
      </xdr:nvSpPr>
      <xdr:spPr>
        <a:xfrm>
          <a:off x="520700" y="27495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17</xdr:row>
      <xdr:rowOff>58341</xdr:rowOff>
    </xdr:from>
    <xdr:to>
      <xdr:col>2</xdr:col>
      <xdr:colOff>271462</xdr:colOff>
      <xdr:row>17</xdr:row>
      <xdr:rowOff>99616</xdr:rowOff>
    </xdr:to>
    <xdr:sp macro="" textlink="">
      <xdr:nvSpPr>
        <xdr:cNvPr id="49014" name="Прямоугольник 49013">
          <a:extLst>
            <a:ext uri="{FF2B5EF4-FFF2-40B4-BE49-F238E27FC236}">
              <a16:creationId xmlns:a16="http://schemas.microsoft.com/office/drawing/2014/main" id="{FDBC1637-BA31-20A6-5699-768A5F33A4CC}"/>
            </a:ext>
          </a:extLst>
        </xdr:cNvPr>
        <xdr:cNvSpPr/>
      </xdr:nvSpPr>
      <xdr:spPr>
        <a:xfrm>
          <a:off x="520700" y="27908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17</xdr:row>
      <xdr:rowOff>99616</xdr:rowOff>
    </xdr:from>
    <xdr:to>
      <xdr:col>2</xdr:col>
      <xdr:colOff>271462</xdr:colOff>
      <xdr:row>17</xdr:row>
      <xdr:rowOff>140891</xdr:rowOff>
    </xdr:to>
    <xdr:sp macro="" textlink="">
      <xdr:nvSpPr>
        <xdr:cNvPr id="49015" name="Прямоугольник 49014">
          <a:extLst>
            <a:ext uri="{FF2B5EF4-FFF2-40B4-BE49-F238E27FC236}">
              <a16:creationId xmlns:a16="http://schemas.microsoft.com/office/drawing/2014/main" id="{2E5709F7-9A1B-5A73-046A-03F8582F840E}"/>
            </a:ext>
          </a:extLst>
        </xdr:cNvPr>
        <xdr:cNvSpPr/>
      </xdr:nvSpPr>
      <xdr:spPr>
        <a:xfrm>
          <a:off x="520700" y="28321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17</xdr:row>
      <xdr:rowOff>140891</xdr:rowOff>
    </xdr:from>
    <xdr:to>
      <xdr:col>2</xdr:col>
      <xdr:colOff>271462</xdr:colOff>
      <xdr:row>18</xdr:row>
      <xdr:rowOff>21431</xdr:rowOff>
    </xdr:to>
    <xdr:sp macro="" textlink="">
      <xdr:nvSpPr>
        <xdr:cNvPr id="49016" name="Прямоугольник 49015">
          <a:extLst>
            <a:ext uri="{FF2B5EF4-FFF2-40B4-BE49-F238E27FC236}">
              <a16:creationId xmlns:a16="http://schemas.microsoft.com/office/drawing/2014/main" id="{6AAE4AE1-8159-A1CB-052B-829C71AA4FB0}"/>
            </a:ext>
          </a:extLst>
        </xdr:cNvPr>
        <xdr:cNvSpPr/>
      </xdr:nvSpPr>
      <xdr:spPr>
        <a:xfrm>
          <a:off x="520700" y="28733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16</xdr:row>
      <xdr:rowOff>12700</xdr:rowOff>
    </xdr:from>
    <xdr:to>
      <xdr:col>4</xdr:col>
      <xdr:colOff>123825</xdr:colOff>
      <xdr:row>16</xdr:row>
      <xdr:rowOff>53975</xdr:rowOff>
    </xdr:to>
    <xdr:sp macro="" textlink="">
      <xdr:nvSpPr>
        <xdr:cNvPr id="49017" name="Прямоугольник 49016">
          <a:extLst>
            <a:ext uri="{FF2B5EF4-FFF2-40B4-BE49-F238E27FC236}">
              <a16:creationId xmlns:a16="http://schemas.microsoft.com/office/drawing/2014/main" id="{DF2FD8C0-9063-7663-4BEF-CACA66704B8C}"/>
            </a:ext>
          </a:extLst>
        </xdr:cNvPr>
        <xdr:cNvSpPr/>
      </xdr:nvSpPr>
      <xdr:spPr>
        <a:xfrm>
          <a:off x="1587500" y="25844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16</xdr:row>
      <xdr:rowOff>53975</xdr:rowOff>
    </xdr:from>
    <xdr:to>
      <xdr:col>4</xdr:col>
      <xdr:colOff>123825</xdr:colOff>
      <xdr:row>16</xdr:row>
      <xdr:rowOff>95250</xdr:rowOff>
    </xdr:to>
    <xdr:sp macro="" textlink="">
      <xdr:nvSpPr>
        <xdr:cNvPr id="49018" name="Прямоугольник 49017">
          <a:extLst>
            <a:ext uri="{FF2B5EF4-FFF2-40B4-BE49-F238E27FC236}">
              <a16:creationId xmlns:a16="http://schemas.microsoft.com/office/drawing/2014/main" id="{CB57E63F-735A-6587-7E2D-1946856A93CE}"/>
            </a:ext>
          </a:extLst>
        </xdr:cNvPr>
        <xdr:cNvSpPr/>
      </xdr:nvSpPr>
      <xdr:spPr>
        <a:xfrm>
          <a:off x="1587500" y="26257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16</xdr:row>
      <xdr:rowOff>95250</xdr:rowOff>
    </xdr:from>
    <xdr:to>
      <xdr:col>4</xdr:col>
      <xdr:colOff>123825</xdr:colOff>
      <xdr:row>16</xdr:row>
      <xdr:rowOff>136525</xdr:rowOff>
    </xdr:to>
    <xdr:sp macro="" textlink="">
      <xdr:nvSpPr>
        <xdr:cNvPr id="49019" name="Прямоугольник 49018">
          <a:extLst>
            <a:ext uri="{FF2B5EF4-FFF2-40B4-BE49-F238E27FC236}">
              <a16:creationId xmlns:a16="http://schemas.microsoft.com/office/drawing/2014/main" id="{6B05C4F5-7B9A-404F-C900-1B6E36AFFB36}"/>
            </a:ext>
          </a:extLst>
        </xdr:cNvPr>
        <xdr:cNvSpPr/>
      </xdr:nvSpPr>
      <xdr:spPr>
        <a:xfrm>
          <a:off x="1587500" y="26670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16</xdr:row>
      <xdr:rowOff>136525</xdr:rowOff>
    </xdr:from>
    <xdr:to>
      <xdr:col>4</xdr:col>
      <xdr:colOff>123825</xdr:colOff>
      <xdr:row>17</xdr:row>
      <xdr:rowOff>17066</xdr:rowOff>
    </xdr:to>
    <xdr:sp macro="" textlink="">
      <xdr:nvSpPr>
        <xdr:cNvPr id="49020" name="Прямоугольник 49019">
          <a:extLst>
            <a:ext uri="{FF2B5EF4-FFF2-40B4-BE49-F238E27FC236}">
              <a16:creationId xmlns:a16="http://schemas.microsoft.com/office/drawing/2014/main" id="{D2A1904B-A975-DD75-5C96-133821B67CE0}"/>
            </a:ext>
          </a:extLst>
        </xdr:cNvPr>
        <xdr:cNvSpPr/>
      </xdr:nvSpPr>
      <xdr:spPr>
        <a:xfrm>
          <a:off x="1587500" y="27082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17</xdr:row>
      <xdr:rowOff>17066</xdr:rowOff>
    </xdr:from>
    <xdr:to>
      <xdr:col>4</xdr:col>
      <xdr:colOff>123825</xdr:colOff>
      <xdr:row>17</xdr:row>
      <xdr:rowOff>58341</xdr:rowOff>
    </xdr:to>
    <xdr:sp macro="" textlink="">
      <xdr:nvSpPr>
        <xdr:cNvPr id="49021" name="Прямоугольник 49020">
          <a:extLst>
            <a:ext uri="{FF2B5EF4-FFF2-40B4-BE49-F238E27FC236}">
              <a16:creationId xmlns:a16="http://schemas.microsoft.com/office/drawing/2014/main" id="{11586A9E-9E7E-68D5-39EA-7F2EF8761BB1}"/>
            </a:ext>
          </a:extLst>
        </xdr:cNvPr>
        <xdr:cNvSpPr/>
      </xdr:nvSpPr>
      <xdr:spPr>
        <a:xfrm>
          <a:off x="1587500" y="27495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17</xdr:row>
      <xdr:rowOff>58341</xdr:rowOff>
    </xdr:from>
    <xdr:to>
      <xdr:col>4</xdr:col>
      <xdr:colOff>123825</xdr:colOff>
      <xdr:row>17</xdr:row>
      <xdr:rowOff>99616</xdr:rowOff>
    </xdr:to>
    <xdr:sp macro="" textlink="">
      <xdr:nvSpPr>
        <xdr:cNvPr id="49022" name="Прямоугольник 49021">
          <a:extLst>
            <a:ext uri="{FF2B5EF4-FFF2-40B4-BE49-F238E27FC236}">
              <a16:creationId xmlns:a16="http://schemas.microsoft.com/office/drawing/2014/main" id="{C718BFAF-E5C5-AA75-8975-F633EA5536BA}"/>
            </a:ext>
          </a:extLst>
        </xdr:cNvPr>
        <xdr:cNvSpPr/>
      </xdr:nvSpPr>
      <xdr:spPr>
        <a:xfrm>
          <a:off x="1587500" y="27908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17</xdr:row>
      <xdr:rowOff>99616</xdr:rowOff>
    </xdr:from>
    <xdr:to>
      <xdr:col>4</xdr:col>
      <xdr:colOff>123825</xdr:colOff>
      <xdr:row>17</xdr:row>
      <xdr:rowOff>140891</xdr:rowOff>
    </xdr:to>
    <xdr:sp macro="" textlink="">
      <xdr:nvSpPr>
        <xdr:cNvPr id="49023" name="Прямоугольник 49022">
          <a:extLst>
            <a:ext uri="{FF2B5EF4-FFF2-40B4-BE49-F238E27FC236}">
              <a16:creationId xmlns:a16="http://schemas.microsoft.com/office/drawing/2014/main" id="{7A8EA3AD-B960-908D-D228-D55C9A226B80}"/>
            </a:ext>
          </a:extLst>
        </xdr:cNvPr>
        <xdr:cNvSpPr/>
      </xdr:nvSpPr>
      <xdr:spPr>
        <a:xfrm>
          <a:off x="1587500" y="28321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17</xdr:row>
      <xdr:rowOff>140891</xdr:rowOff>
    </xdr:from>
    <xdr:to>
      <xdr:col>4</xdr:col>
      <xdr:colOff>123825</xdr:colOff>
      <xdr:row>18</xdr:row>
      <xdr:rowOff>21431</xdr:rowOff>
    </xdr:to>
    <xdr:sp macro="" textlink="">
      <xdr:nvSpPr>
        <xdr:cNvPr id="49024" name="Прямоугольник 49023">
          <a:extLst>
            <a:ext uri="{FF2B5EF4-FFF2-40B4-BE49-F238E27FC236}">
              <a16:creationId xmlns:a16="http://schemas.microsoft.com/office/drawing/2014/main" id="{6EB1A0C7-E4BE-F6CE-0898-4FF9DE93B7D8}"/>
            </a:ext>
          </a:extLst>
        </xdr:cNvPr>
        <xdr:cNvSpPr/>
      </xdr:nvSpPr>
      <xdr:spPr>
        <a:xfrm>
          <a:off x="1587500" y="28733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16</xdr:row>
      <xdr:rowOff>12700</xdr:rowOff>
    </xdr:from>
    <xdr:to>
      <xdr:col>5</xdr:col>
      <xdr:colOff>583406</xdr:colOff>
      <xdr:row>16</xdr:row>
      <xdr:rowOff>53975</xdr:rowOff>
    </xdr:to>
    <xdr:sp macro="" textlink="">
      <xdr:nvSpPr>
        <xdr:cNvPr id="49025" name="Прямоугольник 49024">
          <a:extLst>
            <a:ext uri="{FF2B5EF4-FFF2-40B4-BE49-F238E27FC236}">
              <a16:creationId xmlns:a16="http://schemas.microsoft.com/office/drawing/2014/main" id="{6DACA076-8EB2-08FD-0BFA-C62F3E60CDDC}"/>
            </a:ext>
          </a:extLst>
        </xdr:cNvPr>
        <xdr:cNvSpPr/>
      </xdr:nvSpPr>
      <xdr:spPr>
        <a:xfrm>
          <a:off x="2654300" y="25844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16</xdr:row>
      <xdr:rowOff>53975</xdr:rowOff>
    </xdr:from>
    <xdr:to>
      <xdr:col>5</xdr:col>
      <xdr:colOff>583406</xdr:colOff>
      <xdr:row>16</xdr:row>
      <xdr:rowOff>95250</xdr:rowOff>
    </xdr:to>
    <xdr:sp macro="" textlink="">
      <xdr:nvSpPr>
        <xdr:cNvPr id="49026" name="Прямоугольник 49025">
          <a:extLst>
            <a:ext uri="{FF2B5EF4-FFF2-40B4-BE49-F238E27FC236}">
              <a16:creationId xmlns:a16="http://schemas.microsoft.com/office/drawing/2014/main" id="{2A440746-77DC-F213-57C4-C02938350031}"/>
            </a:ext>
          </a:extLst>
        </xdr:cNvPr>
        <xdr:cNvSpPr/>
      </xdr:nvSpPr>
      <xdr:spPr>
        <a:xfrm>
          <a:off x="2654300" y="26257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16</xdr:row>
      <xdr:rowOff>95250</xdr:rowOff>
    </xdr:from>
    <xdr:to>
      <xdr:col>5</xdr:col>
      <xdr:colOff>583406</xdr:colOff>
      <xdr:row>16</xdr:row>
      <xdr:rowOff>136525</xdr:rowOff>
    </xdr:to>
    <xdr:sp macro="" textlink="">
      <xdr:nvSpPr>
        <xdr:cNvPr id="49027" name="Прямоугольник 49026">
          <a:extLst>
            <a:ext uri="{FF2B5EF4-FFF2-40B4-BE49-F238E27FC236}">
              <a16:creationId xmlns:a16="http://schemas.microsoft.com/office/drawing/2014/main" id="{187C1BDC-CCD7-0E47-015D-8C59EB4E0A04}"/>
            </a:ext>
          </a:extLst>
        </xdr:cNvPr>
        <xdr:cNvSpPr/>
      </xdr:nvSpPr>
      <xdr:spPr>
        <a:xfrm>
          <a:off x="2654300" y="26670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16</xdr:row>
      <xdr:rowOff>136525</xdr:rowOff>
    </xdr:from>
    <xdr:to>
      <xdr:col>5</xdr:col>
      <xdr:colOff>583406</xdr:colOff>
      <xdr:row>17</xdr:row>
      <xdr:rowOff>17066</xdr:rowOff>
    </xdr:to>
    <xdr:sp macro="" textlink="">
      <xdr:nvSpPr>
        <xdr:cNvPr id="49028" name="Прямоугольник 49027">
          <a:extLst>
            <a:ext uri="{FF2B5EF4-FFF2-40B4-BE49-F238E27FC236}">
              <a16:creationId xmlns:a16="http://schemas.microsoft.com/office/drawing/2014/main" id="{61A41D22-83F1-C299-DEE4-907AE6340316}"/>
            </a:ext>
          </a:extLst>
        </xdr:cNvPr>
        <xdr:cNvSpPr/>
      </xdr:nvSpPr>
      <xdr:spPr>
        <a:xfrm>
          <a:off x="2654300" y="27082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17</xdr:row>
      <xdr:rowOff>17066</xdr:rowOff>
    </xdr:from>
    <xdr:to>
      <xdr:col>5</xdr:col>
      <xdr:colOff>583406</xdr:colOff>
      <xdr:row>17</xdr:row>
      <xdr:rowOff>58341</xdr:rowOff>
    </xdr:to>
    <xdr:sp macro="" textlink="">
      <xdr:nvSpPr>
        <xdr:cNvPr id="49029" name="Прямоугольник 49028">
          <a:extLst>
            <a:ext uri="{FF2B5EF4-FFF2-40B4-BE49-F238E27FC236}">
              <a16:creationId xmlns:a16="http://schemas.microsoft.com/office/drawing/2014/main" id="{C56CBAA7-5982-F353-4489-312723D7BAF4}"/>
            </a:ext>
          </a:extLst>
        </xdr:cNvPr>
        <xdr:cNvSpPr/>
      </xdr:nvSpPr>
      <xdr:spPr>
        <a:xfrm>
          <a:off x="2654300" y="27495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17</xdr:row>
      <xdr:rowOff>58341</xdr:rowOff>
    </xdr:from>
    <xdr:to>
      <xdr:col>5</xdr:col>
      <xdr:colOff>583406</xdr:colOff>
      <xdr:row>17</xdr:row>
      <xdr:rowOff>99616</xdr:rowOff>
    </xdr:to>
    <xdr:sp macro="" textlink="">
      <xdr:nvSpPr>
        <xdr:cNvPr id="49030" name="Прямоугольник 49029">
          <a:extLst>
            <a:ext uri="{FF2B5EF4-FFF2-40B4-BE49-F238E27FC236}">
              <a16:creationId xmlns:a16="http://schemas.microsoft.com/office/drawing/2014/main" id="{D16B8EAB-8539-FAC3-3CC9-58E3E89A5D5F}"/>
            </a:ext>
          </a:extLst>
        </xdr:cNvPr>
        <xdr:cNvSpPr/>
      </xdr:nvSpPr>
      <xdr:spPr>
        <a:xfrm>
          <a:off x="2654300" y="27908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17</xdr:row>
      <xdr:rowOff>99616</xdr:rowOff>
    </xdr:from>
    <xdr:to>
      <xdr:col>5</xdr:col>
      <xdr:colOff>583406</xdr:colOff>
      <xdr:row>17</xdr:row>
      <xdr:rowOff>140891</xdr:rowOff>
    </xdr:to>
    <xdr:sp macro="" textlink="">
      <xdr:nvSpPr>
        <xdr:cNvPr id="49031" name="Прямоугольник 49030">
          <a:extLst>
            <a:ext uri="{FF2B5EF4-FFF2-40B4-BE49-F238E27FC236}">
              <a16:creationId xmlns:a16="http://schemas.microsoft.com/office/drawing/2014/main" id="{22CF7563-6B24-62E7-212C-FC089F61E8EB}"/>
            </a:ext>
          </a:extLst>
        </xdr:cNvPr>
        <xdr:cNvSpPr/>
      </xdr:nvSpPr>
      <xdr:spPr>
        <a:xfrm>
          <a:off x="2654300" y="28321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17</xdr:row>
      <xdr:rowOff>140891</xdr:rowOff>
    </xdr:from>
    <xdr:to>
      <xdr:col>5</xdr:col>
      <xdr:colOff>583406</xdr:colOff>
      <xdr:row>18</xdr:row>
      <xdr:rowOff>21431</xdr:rowOff>
    </xdr:to>
    <xdr:sp macro="" textlink="">
      <xdr:nvSpPr>
        <xdr:cNvPr id="49032" name="Прямоугольник 49031">
          <a:extLst>
            <a:ext uri="{FF2B5EF4-FFF2-40B4-BE49-F238E27FC236}">
              <a16:creationId xmlns:a16="http://schemas.microsoft.com/office/drawing/2014/main" id="{B7A9AF17-278F-610D-9192-7A588B02D963}"/>
            </a:ext>
          </a:extLst>
        </xdr:cNvPr>
        <xdr:cNvSpPr/>
      </xdr:nvSpPr>
      <xdr:spPr>
        <a:xfrm>
          <a:off x="2654300" y="28733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16</xdr:row>
      <xdr:rowOff>12700</xdr:rowOff>
    </xdr:from>
    <xdr:to>
      <xdr:col>7</xdr:col>
      <xdr:colOff>435769</xdr:colOff>
      <xdr:row>16</xdr:row>
      <xdr:rowOff>53975</xdr:rowOff>
    </xdr:to>
    <xdr:sp macro="" textlink="">
      <xdr:nvSpPr>
        <xdr:cNvPr id="49033" name="Прямоугольник 49032">
          <a:extLst>
            <a:ext uri="{FF2B5EF4-FFF2-40B4-BE49-F238E27FC236}">
              <a16:creationId xmlns:a16="http://schemas.microsoft.com/office/drawing/2014/main" id="{952C802D-574D-1C7A-B804-C8ADFE53BC25}"/>
            </a:ext>
          </a:extLst>
        </xdr:cNvPr>
        <xdr:cNvSpPr/>
      </xdr:nvSpPr>
      <xdr:spPr>
        <a:xfrm>
          <a:off x="3721100" y="25844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16</xdr:row>
      <xdr:rowOff>53975</xdr:rowOff>
    </xdr:from>
    <xdr:to>
      <xdr:col>7</xdr:col>
      <xdr:colOff>435769</xdr:colOff>
      <xdr:row>16</xdr:row>
      <xdr:rowOff>95250</xdr:rowOff>
    </xdr:to>
    <xdr:sp macro="" textlink="">
      <xdr:nvSpPr>
        <xdr:cNvPr id="49034" name="Прямоугольник 49033">
          <a:extLst>
            <a:ext uri="{FF2B5EF4-FFF2-40B4-BE49-F238E27FC236}">
              <a16:creationId xmlns:a16="http://schemas.microsoft.com/office/drawing/2014/main" id="{9DDB23FA-6E30-6AAC-8010-D2319786423E}"/>
            </a:ext>
          </a:extLst>
        </xdr:cNvPr>
        <xdr:cNvSpPr/>
      </xdr:nvSpPr>
      <xdr:spPr>
        <a:xfrm>
          <a:off x="3721100" y="26257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16</xdr:row>
      <xdr:rowOff>95250</xdr:rowOff>
    </xdr:from>
    <xdr:to>
      <xdr:col>7</xdr:col>
      <xdr:colOff>435769</xdr:colOff>
      <xdr:row>16</xdr:row>
      <xdr:rowOff>136525</xdr:rowOff>
    </xdr:to>
    <xdr:sp macro="" textlink="">
      <xdr:nvSpPr>
        <xdr:cNvPr id="49035" name="Прямоугольник 49034">
          <a:extLst>
            <a:ext uri="{FF2B5EF4-FFF2-40B4-BE49-F238E27FC236}">
              <a16:creationId xmlns:a16="http://schemas.microsoft.com/office/drawing/2014/main" id="{1E71722F-872C-4D39-CD86-6B41F4FC4D87}"/>
            </a:ext>
          </a:extLst>
        </xdr:cNvPr>
        <xdr:cNvSpPr/>
      </xdr:nvSpPr>
      <xdr:spPr>
        <a:xfrm>
          <a:off x="3721100" y="26670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16</xdr:row>
      <xdr:rowOff>136525</xdr:rowOff>
    </xdr:from>
    <xdr:to>
      <xdr:col>7</xdr:col>
      <xdr:colOff>435769</xdr:colOff>
      <xdr:row>17</xdr:row>
      <xdr:rowOff>17066</xdr:rowOff>
    </xdr:to>
    <xdr:sp macro="" textlink="">
      <xdr:nvSpPr>
        <xdr:cNvPr id="49036" name="Прямоугольник 49035">
          <a:extLst>
            <a:ext uri="{FF2B5EF4-FFF2-40B4-BE49-F238E27FC236}">
              <a16:creationId xmlns:a16="http://schemas.microsoft.com/office/drawing/2014/main" id="{D01DD76F-482A-EAE8-D902-1EBAB32AFB62}"/>
            </a:ext>
          </a:extLst>
        </xdr:cNvPr>
        <xdr:cNvSpPr/>
      </xdr:nvSpPr>
      <xdr:spPr>
        <a:xfrm>
          <a:off x="3721100" y="27082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17</xdr:row>
      <xdr:rowOff>17066</xdr:rowOff>
    </xdr:from>
    <xdr:to>
      <xdr:col>7</xdr:col>
      <xdr:colOff>435769</xdr:colOff>
      <xdr:row>17</xdr:row>
      <xdr:rowOff>58341</xdr:rowOff>
    </xdr:to>
    <xdr:sp macro="" textlink="">
      <xdr:nvSpPr>
        <xdr:cNvPr id="49037" name="Прямоугольник 49036">
          <a:extLst>
            <a:ext uri="{FF2B5EF4-FFF2-40B4-BE49-F238E27FC236}">
              <a16:creationId xmlns:a16="http://schemas.microsoft.com/office/drawing/2014/main" id="{208EBF6E-DF93-E50F-1A86-08120201CCCC}"/>
            </a:ext>
          </a:extLst>
        </xdr:cNvPr>
        <xdr:cNvSpPr/>
      </xdr:nvSpPr>
      <xdr:spPr>
        <a:xfrm>
          <a:off x="3721100" y="27495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17</xdr:row>
      <xdr:rowOff>58341</xdr:rowOff>
    </xdr:from>
    <xdr:to>
      <xdr:col>7</xdr:col>
      <xdr:colOff>435769</xdr:colOff>
      <xdr:row>17</xdr:row>
      <xdr:rowOff>99616</xdr:rowOff>
    </xdr:to>
    <xdr:sp macro="" textlink="">
      <xdr:nvSpPr>
        <xdr:cNvPr id="49038" name="Прямоугольник 49037">
          <a:extLst>
            <a:ext uri="{FF2B5EF4-FFF2-40B4-BE49-F238E27FC236}">
              <a16:creationId xmlns:a16="http://schemas.microsoft.com/office/drawing/2014/main" id="{1478F478-556E-6B5C-679E-102C3888DA91}"/>
            </a:ext>
          </a:extLst>
        </xdr:cNvPr>
        <xdr:cNvSpPr/>
      </xdr:nvSpPr>
      <xdr:spPr>
        <a:xfrm>
          <a:off x="3721100" y="27908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17</xdr:row>
      <xdr:rowOff>99616</xdr:rowOff>
    </xdr:from>
    <xdr:to>
      <xdr:col>7</xdr:col>
      <xdr:colOff>435769</xdr:colOff>
      <xdr:row>17</xdr:row>
      <xdr:rowOff>140891</xdr:rowOff>
    </xdr:to>
    <xdr:sp macro="" textlink="">
      <xdr:nvSpPr>
        <xdr:cNvPr id="49039" name="Прямоугольник 49038">
          <a:extLst>
            <a:ext uri="{FF2B5EF4-FFF2-40B4-BE49-F238E27FC236}">
              <a16:creationId xmlns:a16="http://schemas.microsoft.com/office/drawing/2014/main" id="{08E5BD40-004D-04CD-86A1-BE7C7C1047DF}"/>
            </a:ext>
          </a:extLst>
        </xdr:cNvPr>
        <xdr:cNvSpPr/>
      </xdr:nvSpPr>
      <xdr:spPr>
        <a:xfrm>
          <a:off x="3721100" y="28321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77787</xdr:colOff>
      <xdr:row>17</xdr:row>
      <xdr:rowOff>140891</xdr:rowOff>
    </xdr:from>
    <xdr:to>
      <xdr:col>7</xdr:col>
      <xdr:colOff>435769</xdr:colOff>
      <xdr:row>18</xdr:row>
      <xdr:rowOff>21431</xdr:rowOff>
    </xdr:to>
    <xdr:sp macro="" textlink="">
      <xdr:nvSpPr>
        <xdr:cNvPr id="49040" name="Прямоугольник 49039">
          <a:extLst>
            <a:ext uri="{FF2B5EF4-FFF2-40B4-BE49-F238E27FC236}">
              <a16:creationId xmlns:a16="http://schemas.microsoft.com/office/drawing/2014/main" id="{9BF54666-CB21-0A1C-96A0-B0B72D3BB0F4}"/>
            </a:ext>
          </a:extLst>
        </xdr:cNvPr>
        <xdr:cNvSpPr/>
      </xdr:nvSpPr>
      <xdr:spPr>
        <a:xfrm>
          <a:off x="3721100" y="28733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24</xdr:row>
      <xdr:rowOff>53975</xdr:rowOff>
    </xdr:from>
    <xdr:to>
      <xdr:col>4</xdr:col>
      <xdr:colOff>123825</xdr:colOff>
      <xdr:row>24</xdr:row>
      <xdr:rowOff>95250</xdr:rowOff>
    </xdr:to>
    <xdr:sp macro="" textlink="">
      <xdr:nvSpPr>
        <xdr:cNvPr id="49041" name="Прямоугольник 49040">
          <a:extLst>
            <a:ext uri="{FF2B5EF4-FFF2-40B4-BE49-F238E27FC236}">
              <a16:creationId xmlns:a16="http://schemas.microsoft.com/office/drawing/2014/main" id="{B3898862-C050-3E9A-DAA0-6B5792E6A56F}"/>
            </a:ext>
          </a:extLst>
        </xdr:cNvPr>
        <xdr:cNvSpPr/>
      </xdr:nvSpPr>
      <xdr:spPr>
        <a:xfrm>
          <a:off x="1587500" y="39116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24</xdr:row>
      <xdr:rowOff>95250</xdr:rowOff>
    </xdr:from>
    <xdr:to>
      <xdr:col>4</xdr:col>
      <xdr:colOff>123825</xdr:colOff>
      <xdr:row>24</xdr:row>
      <xdr:rowOff>136525</xdr:rowOff>
    </xdr:to>
    <xdr:sp macro="" textlink="">
      <xdr:nvSpPr>
        <xdr:cNvPr id="49042" name="Прямоугольник 49041">
          <a:extLst>
            <a:ext uri="{FF2B5EF4-FFF2-40B4-BE49-F238E27FC236}">
              <a16:creationId xmlns:a16="http://schemas.microsoft.com/office/drawing/2014/main" id="{5B230EB3-64A1-7CB4-BDF4-99198CD64336}"/>
            </a:ext>
          </a:extLst>
        </xdr:cNvPr>
        <xdr:cNvSpPr/>
      </xdr:nvSpPr>
      <xdr:spPr>
        <a:xfrm>
          <a:off x="1587500" y="39528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24</xdr:row>
      <xdr:rowOff>136525</xdr:rowOff>
    </xdr:from>
    <xdr:to>
      <xdr:col>4</xdr:col>
      <xdr:colOff>123825</xdr:colOff>
      <xdr:row>25</xdr:row>
      <xdr:rowOff>17066</xdr:rowOff>
    </xdr:to>
    <xdr:sp macro="" textlink="">
      <xdr:nvSpPr>
        <xdr:cNvPr id="49043" name="Прямоугольник 49042">
          <a:extLst>
            <a:ext uri="{FF2B5EF4-FFF2-40B4-BE49-F238E27FC236}">
              <a16:creationId xmlns:a16="http://schemas.microsoft.com/office/drawing/2014/main" id="{D8CB7052-6448-B124-4BC9-D2813874F3F0}"/>
            </a:ext>
          </a:extLst>
        </xdr:cNvPr>
        <xdr:cNvSpPr/>
      </xdr:nvSpPr>
      <xdr:spPr>
        <a:xfrm>
          <a:off x="1587500" y="39941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25</xdr:row>
      <xdr:rowOff>17066</xdr:rowOff>
    </xdr:from>
    <xdr:to>
      <xdr:col>4</xdr:col>
      <xdr:colOff>123825</xdr:colOff>
      <xdr:row>25</xdr:row>
      <xdr:rowOff>58341</xdr:rowOff>
    </xdr:to>
    <xdr:sp macro="" textlink="">
      <xdr:nvSpPr>
        <xdr:cNvPr id="49044" name="Прямоугольник 49043">
          <a:extLst>
            <a:ext uri="{FF2B5EF4-FFF2-40B4-BE49-F238E27FC236}">
              <a16:creationId xmlns:a16="http://schemas.microsoft.com/office/drawing/2014/main" id="{FFEE690D-2FB2-5C49-9FB7-37C39F2680DD}"/>
            </a:ext>
          </a:extLst>
        </xdr:cNvPr>
        <xdr:cNvSpPr/>
      </xdr:nvSpPr>
      <xdr:spPr>
        <a:xfrm>
          <a:off x="1587500" y="403542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25</xdr:row>
      <xdr:rowOff>58341</xdr:rowOff>
    </xdr:from>
    <xdr:to>
      <xdr:col>4</xdr:col>
      <xdr:colOff>123825</xdr:colOff>
      <xdr:row>25</xdr:row>
      <xdr:rowOff>99616</xdr:rowOff>
    </xdr:to>
    <xdr:sp macro="" textlink="">
      <xdr:nvSpPr>
        <xdr:cNvPr id="49045" name="Прямоугольник 49044">
          <a:extLst>
            <a:ext uri="{FF2B5EF4-FFF2-40B4-BE49-F238E27FC236}">
              <a16:creationId xmlns:a16="http://schemas.microsoft.com/office/drawing/2014/main" id="{62A8B0D5-FD13-8056-4382-593DF51386D2}"/>
            </a:ext>
          </a:extLst>
        </xdr:cNvPr>
        <xdr:cNvSpPr/>
      </xdr:nvSpPr>
      <xdr:spPr>
        <a:xfrm>
          <a:off x="1587500" y="407670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25</xdr:row>
      <xdr:rowOff>99616</xdr:rowOff>
    </xdr:from>
    <xdr:to>
      <xdr:col>4</xdr:col>
      <xdr:colOff>123825</xdr:colOff>
      <xdr:row>25</xdr:row>
      <xdr:rowOff>140891</xdr:rowOff>
    </xdr:to>
    <xdr:sp macro="" textlink="">
      <xdr:nvSpPr>
        <xdr:cNvPr id="49046" name="Прямоугольник 49045">
          <a:extLst>
            <a:ext uri="{FF2B5EF4-FFF2-40B4-BE49-F238E27FC236}">
              <a16:creationId xmlns:a16="http://schemas.microsoft.com/office/drawing/2014/main" id="{5BCA1E0E-A48A-E7B9-8AC6-1B99158973BF}"/>
            </a:ext>
          </a:extLst>
        </xdr:cNvPr>
        <xdr:cNvSpPr/>
      </xdr:nvSpPr>
      <xdr:spPr>
        <a:xfrm>
          <a:off x="1587500" y="4117975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25</xdr:row>
      <xdr:rowOff>140891</xdr:rowOff>
    </xdr:from>
    <xdr:to>
      <xdr:col>4</xdr:col>
      <xdr:colOff>123825</xdr:colOff>
      <xdr:row>26</xdr:row>
      <xdr:rowOff>21431</xdr:rowOff>
    </xdr:to>
    <xdr:sp macro="" textlink="">
      <xdr:nvSpPr>
        <xdr:cNvPr id="49047" name="Прямоугольник 49046">
          <a:extLst>
            <a:ext uri="{FF2B5EF4-FFF2-40B4-BE49-F238E27FC236}">
              <a16:creationId xmlns:a16="http://schemas.microsoft.com/office/drawing/2014/main" id="{9FBD9618-339E-2B4F-0119-AD5CE770CC73}"/>
            </a:ext>
          </a:extLst>
        </xdr:cNvPr>
        <xdr:cNvSpPr/>
      </xdr:nvSpPr>
      <xdr:spPr>
        <a:xfrm>
          <a:off x="1587500" y="4159250"/>
          <a:ext cx="965200" cy="41275"/>
        </a:xfrm>
        <a:prstGeom prst="rect">
          <a:avLst/>
        </a:prstGeom>
        <a:solidFill>
          <a:srgbClr val="C7C7C7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26</xdr:row>
      <xdr:rowOff>21431</xdr:rowOff>
    </xdr:from>
    <xdr:to>
      <xdr:col>4</xdr:col>
      <xdr:colOff>123825</xdr:colOff>
      <xdr:row>26</xdr:row>
      <xdr:rowOff>62706</xdr:rowOff>
    </xdr:to>
    <xdr:sp macro="" textlink="">
      <xdr:nvSpPr>
        <xdr:cNvPr id="49048" name="Прямоугольник 49047">
          <a:extLst>
            <a:ext uri="{FF2B5EF4-FFF2-40B4-BE49-F238E27FC236}">
              <a16:creationId xmlns:a16="http://schemas.microsoft.com/office/drawing/2014/main" id="{A85DBA67-35C2-66C5-47D5-6E876E776876}"/>
            </a:ext>
          </a:extLst>
        </xdr:cNvPr>
        <xdr:cNvSpPr/>
      </xdr:nvSpPr>
      <xdr:spPr>
        <a:xfrm>
          <a:off x="1587500" y="420052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28</xdr:row>
      <xdr:rowOff>90487</xdr:rowOff>
    </xdr:from>
    <xdr:to>
      <xdr:col>4</xdr:col>
      <xdr:colOff>123825</xdr:colOff>
      <xdr:row>28</xdr:row>
      <xdr:rowOff>131762</xdr:rowOff>
    </xdr:to>
    <xdr:sp macro="" textlink="">
      <xdr:nvSpPr>
        <xdr:cNvPr id="49049" name="Прямоугольник 49048">
          <a:extLst>
            <a:ext uri="{FF2B5EF4-FFF2-40B4-BE49-F238E27FC236}">
              <a16:creationId xmlns:a16="http://schemas.microsoft.com/office/drawing/2014/main" id="{542E59CE-1C40-3086-BF64-1DAD7C1C1F27}"/>
            </a:ext>
          </a:extLst>
        </xdr:cNvPr>
        <xdr:cNvSpPr/>
      </xdr:nvSpPr>
      <xdr:spPr>
        <a:xfrm>
          <a:off x="1587500" y="4591050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28</xdr:row>
      <xdr:rowOff>131762</xdr:rowOff>
    </xdr:from>
    <xdr:to>
      <xdr:col>4</xdr:col>
      <xdr:colOff>123825</xdr:colOff>
      <xdr:row>29</xdr:row>
      <xdr:rowOff>12303</xdr:rowOff>
    </xdr:to>
    <xdr:sp macro="" textlink="">
      <xdr:nvSpPr>
        <xdr:cNvPr id="49050" name="Прямоугольник 49049">
          <a:extLst>
            <a:ext uri="{FF2B5EF4-FFF2-40B4-BE49-F238E27FC236}">
              <a16:creationId xmlns:a16="http://schemas.microsoft.com/office/drawing/2014/main" id="{15A2C2D7-C62C-2343-EA35-FA2A07566EEB}"/>
            </a:ext>
          </a:extLst>
        </xdr:cNvPr>
        <xdr:cNvSpPr/>
      </xdr:nvSpPr>
      <xdr:spPr>
        <a:xfrm>
          <a:off x="1587500" y="463232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29</xdr:row>
      <xdr:rowOff>12303</xdr:rowOff>
    </xdr:from>
    <xdr:to>
      <xdr:col>4</xdr:col>
      <xdr:colOff>123825</xdr:colOff>
      <xdr:row>29</xdr:row>
      <xdr:rowOff>53578</xdr:rowOff>
    </xdr:to>
    <xdr:sp macro="" textlink="">
      <xdr:nvSpPr>
        <xdr:cNvPr id="49051" name="Прямоугольник 49050">
          <a:extLst>
            <a:ext uri="{FF2B5EF4-FFF2-40B4-BE49-F238E27FC236}">
              <a16:creationId xmlns:a16="http://schemas.microsoft.com/office/drawing/2014/main" id="{039EC88F-70D5-2984-9F21-7C13599B7ED1}"/>
            </a:ext>
          </a:extLst>
        </xdr:cNvPr>
        <xdr:cNvSpPr/>
      </xdr:nvSpPr>
      <xdr:spPr>
        <a:xfrm>
          <a:off x="1587500" y="4673600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29</xdr:row>
      <xdr:rowOff>53578</xdr:rowOff>
    </xdr:from>
    <xdr:to>
      <xdr:col>4</xdr:col>
      <xdr:colOff>123825</xdr:colOff>
      <xdr:row>29</xdr:row>
      <xdr:rowOff>94853</xdr:rowOff>
    </xdr:to>
    <xdr:sp macro="" textlink="">
      <xdr:nvSpPr>
        <xdr:cNvPr id="49052" name="Прямоугольник 49051">
          <a:extLst>
            <a:ext uri="{FF2B5EF4-FFF2-40B4-BE49-F238E27FC236}">
              <a16:creationId xmlns:a16="http://schemas.microsoft.com/office/drawing/2014/main" id="{AAE38A21-198C-05D2-ACEF-393BB96CE9F0}"/>
            </a:ext>
          </a:extLst>
        </xdr:cNvPr>
        <xdr:cNvSpPr/>
      </xdr:nvSpPr>
      <xdr:spPr>
        <a:xfrm>
          <a:off x="1587500" y="471487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29</xdr:row>
      <xdr:rowOff>94853</xdr:rowOff>
    </xdr:from>
    <xdr:to>
      <xdr:col>4</xdr:col>
      <xdr:colOff>123825</xdr:colOff>
      <xdr:row>29</xdr:row>
      <xdr:rowOff>136128</xdr:rowOff>
    </xdr:to>
    <xdr:sp macro="" textlink="">
      <xdr:nvSpPr>
        <xdr:cNvPr id="49053" name="Прямоугольник 49052">
          <a:extLst>
            <a:ext uri="{FF2B5EF4-FFF2-40B4-BE49-F238E27FC236}">
              <a16:creationId xmlns:a16="http://schemas.microsoft.com/office/drawing/2014/main" id="{15ACE31F-6FC4-D324-8BF8-0C41189D2FA0}"/>
            </a:ext>
          </a:extLst>
        </xdr:cNvPr>
        <xdr:cNvSpPr/>
      </xdr:nvSpPr>
      <xdr:spPr>
        <a:xfrm>
          <a:off x="1587500" y="4756150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29</xdr:row>
      <xdr:rowOff>136128</xdr:rowOff>
    </xdr:from>
    <xdr:to>
      <xdr:col>4</xdr:col>
      <xdr:colOff>123825</xdr:colOff>
      <xdr:row>30</xdr:row>
      <xdr:rowOff>16669</xdr:rowOff>
    </xdr:to>
    <xdr:sp macro="" textlink="">
      <xdr:nvSpPr>
        <xdr:cNvPr id="49054" name="Прямоугольник 49053">
          <a:extLst>
            <a:ext uri="{FF2B5EF4-FFF2-40B4-BE49-F238E27FC236}">
              <a16:creationId xmlns:a16="http://schemas.microsoft.com/office/drawing/2014/main" id="{3A81923C-7EB7-8BD8-DC64-ECF0848839AF}"/>
            </a:ext>
          </a:extLst>
        </xdr:cNvPr>
        <xdr:cNvSpPr/>
      </xdr:nvSpPr>
      <xdr:spPr>
        <a:xfrm>
          <a:off x="1587500" y="479742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30</xdr:row>
      <xdr:rowOff>16669</xdr:rowOff>
    </xdr:from>
    <xdr:to>
      <xdr:col>4</xdr:col>
      <xdr:colOff>123825</xdr:colOff>
      <xdr:row>30</xdr:row>
      <xdr:rowOff>57944</xdr:rowOff>
    </xdr:to>
    <xdr:sp macro="" textlink="">
      <xdr:nvSpPr>
        <xdr:cNvPr id="49055" name="Прямоугольник 49054">
          <a:extLst>
            <a:ext uri="{FF2B5EF4-FFF2-40B4-BE49-F238E27FC236}">
              <a16:creationId xmlns:a16="http://schemas.microsoft.com/office/drawing/2014/main" id="{3DB125DE-7D3E-0241-2E88-6772AFDE7358}"/>
            </a:ext>
          </a:extLst>
        </xdr:cNvPr>
        <xdr:cNvSpPr/>
      </xdr:nvSpPr>
      <xdr:spPr>
        <a:xfrm>
          <a:off x="1587500" y="4838700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30</xdr:row>
      <xdr:rowOff>57944</xdr:rowOff>
    </xdr:from>
    <xdr:to>
      <xdr:col>4</xdr:col>
      <xdr:colOff>123825</xdr:colOff>
      <xdr:row>30</xdr:row>
      <xdr:rowOff>99219</xdr:rowOff>
    </xdr:to>
    <xdr:sp macro="" textlink="">
      <xdr:nvSpPr>
        <xdr:cNvPr id="49056" name="Прямоугольник 49055">
          <a:extLst>
            <a:ext uri="{FF2B5EF4-FFF2-40B4-BE49-F238E27FC236}">
              <a16:creationId xmlns:a16="http://schemas.microsoft.com/office/drawing/2014/main" id="{E6E30751-0E75-8460-21F1-BDF1163FDBCA}"/>
            </a:ext>
          </a:extLst>
        </xdr:cNvPr>
        <xdr:cNvSpPr/>
      </xdr:nvSpPr>
      <xdr:spPr>
        <a:xfrm>
          <a:off x="1587500" y="487997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23</xdr:row>
      <xdr:rowOff>90884</xdr:rowOff>
    </xdr:from>
    <xdr:to>
      <xdr:col>5</xdr:col>
      <xdr:colOff>583406</xdr:colOff>
      <xdr:row>23</xdr:row>
      <xdr:rowOff>132159</xdr:rowOff>
    </xdr:to>
    <xdr:sp macro="" textlink="">
      <xdr:nvSpPr>
        <xdr:cNvPr id="49057" name="Прямоугольник 49056">
          <a:extLst>
            <a:ext uri="{FF2B5EF4-FFF2-40B4-BE49-F238E27FC236}">
              <a16:creationId xmlns:a16="http://schemas.microsoft.com/office/drawing/2014/main" id="{8F1D8D91-9615-F0F8-B3DE-22BC5B66D2AB}"/>
            </a:ext>
          </a:extLst>
        </xdr:cNvPr>
        <xdr:cNvSpPr/>
      </xdr:nvSpPr>
      <xdr:spPr>
        <a:xfrm>
          <a:off x="2654300" y="378777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23</xdr:row>
      <xdr:rowOff>132159</xdr:rowOff>
    </xdr:from>
    <xdr:to>
      <xdr:col>5</xdr:col>
      <xdr:colOff>583406</xdr:colOff>
      <xdr:row>24</xdr:row>
      <xdr:rowOff>12700</xdr:rowOff>
    </xdr:to>
    <xdr:sp macro="" textlink="">
      <xdr:nvSpPr>
        <xdr:cNvPr id="49058" name="Прямоугольник 49057">
          <a:extLst>
            <a:ext uri="{FF2B5EF4-FFF2-40B4-BE49-F238E27FC236}">
              <a16:creationId xmlns:a16="http://schemas.microsoft.com/office/drawing/2014/main" id="{E4ADB071-8E0D-39B5-58DB-C5497F824DD7}"/>
            </a:ext>
          </a:extLst>
        </xdr:cNvPr>
        <xdr:cNvSpPr/>
      </xdr:nvSpPr>
      <xdr:spPr>
        <a:xfrm>
          <a:off x="2654300" y="3829050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24</xdr:row>
      <xdr:rowOff>12700</xdr:rowOff>
    </xdr:from>
    <xdr:to>
      <xdr:col>5</xdr:col>
      <xdr:colOff>583406</xdr:colOff>
      <xdr:row>24</xdr:row>
      <xdr:rowOff>53975</xdr:rowOff>
    </xdr:to>
    <xdr:sp macro="" textlink="">
      <xdr:nvSpPr>
        <xdr:cNvPr id="49059" name="Прямоугольник 49058">
          <a:extLst>
            <a:ext uri="{FF2B5EF4-FFF2-40B4-BE49-F238E27FC236}">
              <a16:creationId xmlns:a16="http://schemas.microsoft.com/office/drawing/2014/main" id="{E34FA37B-4F79-3CE7-1EBA-493AF85C8C0D}"/>
            </a:ext>
          </a:extLst>
        </xdr:cNvPr>
        <xdr:cNvSpPr/>
      </xdr:nvSpPr>
      <xdr:spPr>
        <a:xfrm>
          <a:off x="2654300" y="387032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24</xdr:row>
      <xdr:rowOff>53975</xdr:rowOff>
    </xdr:from>
    <xdr:to>
      <xdr:col>5</xdr:col>
      <xdr:colOff>583406</xdr:colOff>
      <xdr:row>24</xdr:row>
      <xdr:rowOff>95250</xdr:rowOff>
    </xdr:to>
    <xdr:sp macro="" textlink="">
      <xdr:nvSpPr>
        <xdr:cNvPr id="49060" name="Прямоугольник 49059">
          <a:extLst>
            <a:ext uri="{FF2B5EF4-FFF2-40B4-BE49-F238E27FC236}">
              <a16:creationId xmlns:a16="http://schemas.microsoft.com/office/drawing/2014/main" id="{0CEC9CD8-AF63-81A7-9F9D-DD8CE85F8B52}"/>
            </a:ext>
          </a:extLst>
        </xdr:cNvPr>
        <xdr:cNvSpPr/>
      </xdr:nvSpPr>
      <xdr:spPr>
        <a:xfrm>
          <a:off x="2654300" y="3911600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24</xdr:row>
      <xdr:rowOff>95250</xdr:rowOff>
    </xdr:from>
    <xdr:to>
      <xdr:col>5</xdr:col>
      <xdr:colOff>583406</xdr:colOff>
      <xdr:row>24</xdr:row>
      <xdr:rowOff>136525</xdr:rowOff>
    </xdr:to>
    <xdr:sp macro="" textlink="">
      <xdr:nvSpPr>
        <xdr:cNvPr id="49061" name="Прямоугольник 49060">
          <a:extLst>
            <a:ext uri="{FF2B5EF4-FFF2-40B4-BE49-F238E27FC236}">
              <a16:creationId xmlns:a16="http://schemas.microsoft.com/office/drawing/2014/main" id="{A1026A36-C303-C30E-6F8B-840344E84F03}"/>
            </a:ext>
          </a:extLst>
        </xdr:cNvPr>
        <xdr:cNvSpPr/>
      </xdr:nvSpPr>
      <xdr:spPr>
        <a:xfrm>
          <a:off x="2654300" y="395287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24</xdr:row>
      <xdr:rowOff>136525</xdr:rowOff>
    </xdr:from>
    <xdr:to>
      <xdr:col>5</xdr:col>
      <xdr:colOff>583406</xdr:colOff>
      <xdr:row>25</xdr:row>
      <xdr:rowOff>17066</xdr:rowOff>
    </xdr:to>
    <xdr:sp macro="" textlink="">
      <xdr:nvSpPr>
        <xdr:cNvPr id="49062" name="Прямоугольник 49061">
          <a:extLst>
            <a:ext uri="{FF2B5EF4-FFF2-40B4-BE49-F238E27FC236}">
              <a16:creationId xmlns:a16="http://schemas.microsoft.com/office/drawing/2014/main" id="{29756194-A0C4-D103-B6D0-DAE5A8AD9924}"/>
            </a:ext>
          </a:extLst>
        </xdr:cNvPr>
        <xdr:cNvSpPr/>
      </xdr:nvSpPr>
      <xdr:spPr>
        <a:xfrm>
          <a:off x="2654300" y="3994150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25</xdr:row>
      <xdr:rowOff>17066</xdr:rowOff>
    </xdr:from>
    <xdr:to>
      <xdr:col>5</xdr:col>
      <xdr:colOff>583406</xdr:colOff>
      <xdr:row>25</xdr:row>
      <xdr:rowOff>58341</xdr:rowOff>
    </xdr:to>
    <xdr:sp macro="" textlink="">
      <xdr:nvSpPr>
        <xdr:cNvPr id="49063" name="Прямоугольник 49062">
          <a:extLst>
            <a:ext uri="{FF2B5EF4-FFF2-40B4-BE49-F238E27FC236}">
              <a16:creationId xmlns:a16="http://schemas.microsoft.com/office/drawing/2014/main" id="{12AB2902-C873-E85D-C72C-B68A299031B7}"/>
            </a:ext>
          </a:extLst>
        </xdr:cNvPr>
        <xdr:cNvSpPr/>
      </xdr:nvSpPr>
      <xdr:spPr>
        <a:xfrm>
          <a:off x="2654300" y="403542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225425</xdr:colOff>
      <xdr:row>25</xdr:row>
      <xdr:rowOff>58341</xdr:rowOff>
    </xdr:from>
    <xdr:to>
      <xdr:col>5</xdr:col>
      <xdr:colOff>583406</xdr:colOff>
      <xdr:row>25</xdr:row>
      <xdr:rowOff>99616</xdr:rowOff>
    </xdr:to>
    <xdr:sp macro="" textlink="">
      <xdr:nvSpPr>
        <xdr:cNvPr id="49064" name="Прямоугольник 49063">
          <a:extLst>
            <a:ext uri="{FF2B5EF4-FFF2-40B4-BE49-F238E27FC236}">
              <a16:creationId xmlns:a16="http://schemas.microsoft.com/office/drawing/2014/main" id="{92B3B6E9-2036-B941-11CE-CE4FCB083591}"/>
            </a:ext>
          </a:extLst>
        </xdr:cNvPr>
        <xdr:cNvSpPr/>
      </xdr:nvSpPr>
      <xdr:spPr>
        <a:xfrm>
          <a:off x="2654300" y="4076700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35</xdr:row>
      <xdr:rowOff>155972</xdr:rowOff>
    </xdr:from>
    <xdr:to>
      <xdr:col>4</xdr:col>
      <xdr:colOff>123825</xdr:colOff>
      <xdr:row>36</xdr:row>
      <xdr:rowOff>36512</xdr:rowOff>
    </xdr:to>
    <xdr:sp macro="" textlink="">
      <xdr:nvSpPr>
        <xdr:cNvPr id="49065" name="Прямоугольник 49064">
          <a:extLst>
            <a:ext uri="{FF2B5EF4-FFF2-40B4-BE49-F238E27FC236}">
              <a16:creationId xmlns:a16="http://schemas.microsoft.com/office/drawing/2014/main" id="{AFA232FB-ADDA-4AEC-2F7B-6DBC094F5C55}"/>
            </a:ext>
          </a:extLst>
        </xdr:cNvPr>
        <xdr:cNvSpPr/>
      </xdr:nvSpPr>
      <xdr:spPr>
        <a:xfrm>
          <a:off x="1587500" y="5781675"/>
          <a:ext cx="965200" cy="41275"/>
        </a:xfrm>
        <a:prstGeom prst="rect">
          <a:avLst/>
        </a:prstGeom>
        <a:solidFill>
          <a:srgbClr val="DBDB8D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32</xdr:row>
      <xdr:rowOff>127000</xdr:rowOff>
    </xdr:from>
    <xdr:to>
      <xdr:col>4</xdr:col>
      <xdr:colOff>123825</xdr:colOff>
      <xdr:row>33</xdr:row>
      <xdr:rowOff>39291</xdr:rowOff>
    </xdr:to>
    <xdr:sp macro="" textlink="">
      <xdr:nvSpPr>
        <xdr:cNvPr id="49066" name="Прямоугольник 49065">
          <a:extLst>
            <a:ext uri="{FF2B5EF4-FFF2-40B4-BE49-F238E27FC236}">
              <a16:creationId xmlns:a16="http://schemas.microsoft.com/office/drawing/2014/main" id="{F995D282-59DF-1B8E-7675-88DDCF34CD86}"/>
            </a:ext>
          </a:extLst>
        </xdr:cNvPr>
        <xdr:cNvSpPr/>
      </xdr:nvSpPr>
      <xdr:spPr>
        <a:xfrm>
          <a:off x="1587500" y="527050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33</xdr:row>
      <xdr:rowOff>39291</xdr:rowOff>
    </xdr:from>
    <xdr:to>
      <xdr:col>4</xdr:col>
      <xdr:colOff>123825</xdr:colOff>
      <xdr:row>33</xdr:row>
      <xdr:rowOff>112316</xdr:rowOff>
    </xdr:to>
    <xdr:sp macro="" textlink="">
      <xdr:nvSpPr>
        <xdr:cNvPr id="49067" name="Прямоугольник 49066">
          <a:extLst>
            <a:ext uri="{FF2B5EF4-FFF2-40B4-BE49-F238E27FC236}">
              <a16:creationId xmlns:a16="http://schemas.microsoft.com/office/drawing/2014/main" id="{6C00A619-E8AB-51E6-95A0-D90E7A38BE92}"/>
            </a:ext>
          </a:extLst>
        </xdr:cNvPr>
        <xdr:cNvSpPr/>
      </xdr:nvSpPr>
      <xdr:spPr>
        <a:xfrm>
          <a:off x="1587500" y="534352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33</xdr:row>
      <xdr:rowOff>112316</xdr:rowOff>
    </xdr:from>
    <xdr:to>
      <xdr:col>4</xdr:col>
      <xdr:colOff>123825</xdr:colOff>
      <xdr:row>34</xdr:row>
      <xdr:rowOff>24606</xdr:rowOff>
    </xdr:to>
    <xdr:sp macro="" textlink="">
      <xdr:nvSpPr>
        <xdr:cNvPr id="49068" name="Прямоугольник 49067">
          <a:extLst>
            <a:ext uri="{FF2B5EF4-FFF2-40B4-BE49-F238E27FC236}">
              <a16:creationId xmlns:a16="http://schemas.microsoft.com/office/drawing/2014/main" id="{A1EFEE90-2D90-2A87-CF27-AF5A079DE2F8}"/>
            </a:ext>
          </a:extLst>
        </xdr:cNvPr>
        <xdr:cNvSpPr/>
      </xdr:nvSpPr>
      <xdr:spPr>
        <a:xfrm>
          <a:off x="1587500" y="541655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34</xdr:row>
      <xdr:rowOff>24606</xdr:rowOff>
    </xdr:from>
    <xdr:to>
      <xdr:col>4</xdr:col>
      <xdr:colOff>123825</xdr:colOff>
      <xdr:row>34</xdr:row>
      <xdr:rowOff>97631</xdr:rowOff>
    </xdr:to>
    <xdr:sp macro="" textlink="">
      <xdr:nvSpPr>
        <xdr:cNvPr id="49069" name="Прямоугольник 49068">
          <a:extLst>
            <a:ext uri="{FF2B5EF4-FFF2-40B4-BE49-F238E27FC236}">
              <a16:creationId xmlns:a16="http://schemas.microsoft.com/office/drawing/2014/main" id="{44F19841-B4A3-AC7C-D08A-2D9096925576}"/>
            </a:ext>
          </a:extLst>
        </xdr:cNvPr>
        <xdr:cNvSpPr/>
      </xdr:nvSpPr>
      <xdr:spPr>
        <a:xfrm>
          <a:off x="1587500" y="548957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34</xdr:row>
      <xdr:rowOff>97631</xdr:rowOff>
    </xdr:from>
    <xdr:to>
      <xdr:col>4</xdr:col>
      <xdr:colOff>123825</xdr:colOff>
      <xdr:row>35</xdr:row>
      <xdr:rowOff>9922</xdr:rowOff>
    </xdr:to>
    <xdr:sp macro="" textlink="">
      <xdr:nvSpPr>
        <xdr:cNvPr id="49070" name="Прямоугольник 49069">
          <a:extLst>
            <a:ext uri="{FF2B5EF4-FFF2-40B4-BE49-F238E27FC236}">
              <a16:creationId xmlns:a16="http://schemas.microsoft.com/office/drawing/2014/main" id="{168170B1-0FA9-DA74-C809-65ED8D0300FA}"/>
            </a:ext>
          </a:extLst>
        </xdr:cNvPr>
        <xdr:cNvSpPr/>
      </xdr:nvSpPr>
      <xdr:spPr>
        <a:xfrm>
          <a:off x="1587500" y="556260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35</xdr:row>
      <xdr:rowOff>9922</xdr:rowOff>
    </xdr:from>
    <xdr:to>
      <xdr:col>4</xdr:col>
      <xdr:colOff>123825</xdr:colOff>
      <xdr:row>35</xdr:row>
      <xdr:rowOff>82947</xdr:rowOff>
    </xdr:to>
    <xdr:sp macro="" textlink="">
      <xdr:nvSpPr>
        <xdr:cNvPr id="49071" name="Прямоугольник 49070">
          <a:extLst>
            <a:ext uri="{FF2B5EF4-FFF2-40B4-BE49-F238E27FC236}">
              <a16:creationId xmlns:a16="http://schemas.microsoft.com/office/drawing/2014/main" id="{2C31E207-85E8-1FDC-46A1-B18CDA4914BB}"/>
            </a:ext>
          </a:extLst>
        </xdr:cNvPr>
        <xdr:cNvSpPr/>
      </xdr:nvSpPr>
      <xdr:spPr>
        <a:xfrm>
          <a:off x="1587500" y="563562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373062</xdr:colOff>
      <xdr:row>35</xdr:row>
      <xdr:rowOff>82947</xdr:rowOff>
    </xdr:from>
    <xdr:to>
      <xdr:col>4</xdr:col>
      <xdr:colOff>123825</xdr:colOff>
      <xdr:row>35</xdr:row>
      <xdr:rowOff>155972</xdr:rowOff>
    </xdr:to>
    <xdr:sp macro="" textlink="">
      <xdr:nvSpPr>
        <xdr:cNvPr id="49072" name="Прямоугольник 49071">
          <a:extLst>
            <a:ext uri="{FF2B5EF4-FFF2-40B4-BE49-F238E27FC236}">
              <a16:creationId xmlns:a16="http://schemas.microsoft.com/office/drawing/2014/main" id="{D8488A66-F276-31DB-265C-55288D69916C}"/>
            </a:ext>
          </a:extLst>
        </xdr:cNvPr>
        <xdr:cNvSpPr/>
      </xdr:nvSpPr>
      <xdr:spPr>
        <a:xfrm>
          <a:off x="1587500" y="570865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27</xdr:row>
      <xdr:rowOff>70247</xdr:rowOff>
    </xdr:from>
    <xdr:to>
      <xdr:col>2</xdr:col>
      <xdr:colOff>271462</xdr:colOff>
      <xdr:row>27</xdr:row>
      <xdr:rowOff>143272</xdr:rowOff>
    </xdr:to>
    <xdr:sp macro="" textlink="">
      <xdr:nvSpPr>
        <xdr:cNvPr id="49073" name="Прямоугольник 49072">
          <a:extLst>
            <a:ext uri="{FF2B5EF4-FFF2-40B4-BE49-F238E27FC236}">
              <a16:creationId xmlns:a16="http://schemas.microsoft.com/office/drawing/2014/main" id="{48AEE61F-149E-655E-25E7-1061DC0FC533}"/>
            </a:ext>
          </a:extLst>
        </xdr:cNvPr>
        <xdr:cNvSpPr/>
      </xdr:nvSpPr>
      <xdr:spPr>
        <a:xfrm>
          <a:off x="520700" y="441007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27</xdr:row>
      <xdr:rowOff>143272</xdr:rowOff>
    </xdr:from>
    <xdr:to>
      <xdr:col>2</xdr:col>
      <xdr:colOff>271462</xdr:colOff>
      <xdr:row>28</xdr:row>
      <xdr:rowOff>55562</xdr:rowOff>
    </xdr:to>
    <xdr:sp macro="" textlink="">
      <xdr:nvSpPr>
        <xdr:cNvPr id="49074" name="Прямоугольник 49073">
          <a:extLst>
            <a:ext uri="{FF2B5EF4-FFF2-40B4-BE49-F238E27FC236}">
              <a16:creationId xmlns:a16="http://schemas.microsoft.com/office/drawing/2014/main" id="{0F7943C6-FE45-4A08-3F42-B19C5F65205C}"/>
            </a:ext>
          </a:extLst>
        </xdr:cNvPr>
        <xdr:cNvSpPr/>
      </xdr:nvSpPr>
      <xdr:spPr>
        <a:xfrm>
          <a:off x="520700" y="448310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28</xdr:row>
      <xdr:rowOff>55562</xdr:rowOff>
    </xdr:from>
    <xdr:to>
      <xdr:col>2</xdr:col>
      <xdr:colOff>271462</xdr:colOff>
      <xdr:row>28</xdr:row>
      <xdr:rowOff>128587</xdr:rowOff>
    </xdr:to>
    <xdr:sp macro="" textlink="">
      <xdr:nvSpPr>
        <xdr:cNvPr id="49075" name="Прямоугольник 49074">
          <a:extLst>
            <a:ext uri="{FF2B5EF4-FFF2-40B4-BE49-F238E27FC236}">
              <a16:creationId xmlns:a16="http://schemas.microsoft.com/office/drawing/2014/main" id="{CBC4209F-2241-5468-06CF-886399CE4193}"/>
            </a:ext>
          </a:extLst>
        </xdr:cNvPr>
        <xdr:cNvSpPr/>
      </xdr:nvSpPr>
      <xdr:spPr>
        <a:xfrm>
          <a:off x="520700" y="455612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28</xdr:row>
      <xdr:rowOff>128587</xdr:rowOff>
    </xdr:from>
    <xdr:to>
      <xdr:col>2</xdr:col>
      <xdr:colOff>271462</xdr:colOff>
      <xdr:row>29</xdr:row>
      <xdr:rowOff>40878</xdr:rowOff>
    </xdr:to>
    <xdr:sp macro="" textlink="">
      <xdr:nvSpPr>
        <xdr:cNvPr id="49076" name="Прямоугольник 49075">
          <a:extLst>
            <a:ext uri="{FF2B5EF4-FFF2-40B4-BE49-F238E27FC236}">
              <a16:creationId xmlns:a16="http://schemas.microsoft.com/office/drawing/2014/main" id="{8B7FDE3D-03E8-8E68-393C-B0199E4EFEE9}"/>
            </a:ext>
          </a:extLst>
        </xdr:cNvPr>
        <xdr:cNvSpPr/>
      </xdr:nvSpPr>
      <xdr:spPr>
        <a:xfrm>
          <a:off x="520700" y="462915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29</xdr:row>
      <xdr:rowOff>40878</xdr:rowOff>
    </xdr:from>
    <xdr:to>
      <xdr:col>2</xdr:col>
      <xdr:colOff>271462</xdr:colOff>
      <xdr:row>29</xdr:row>
      <xdr:rowOff>113903</xdr:rowOff>
    </xdr:to>
    <xdr:sp macro="" textlink="">
      <xdr:nvSpPr>
        <xdr:cNvPr id="49077" name="Прямоугольник 49076">
          <a:extLst>
            <a:ext uri="{FF2B5EF4-FFF2-40B4-BE49-F238E27FC236}">
              <a16:creationId xmlns:a16="http://schemas.microsoft.com/office/drawing/2014/main" id="{D3770ED5-90E2-A058-1D08-197340A505A3}"/>
            </a:ext>
          </a:extLst>
        </xdr:cNvPr>
        <xdr:cNvSpPr/>
      </xdr:nvSpPr>
      <xdr:spPr>
        <a:xfrm>
          <a:off x="520700" y="470217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29</xdr:row>
      <xdr:rowOff>113903</xdr:rowOff>
    </xdr:from>
    <xdr:to>
      <xdr:col>2</xdr:col>
      <xdr:colOff>271462</xdr:colOff>
      <xdr:row>30</xdr:row>
      <xdr:rowOff>26194</xdr:rowOff>
    </xdr:to>
    <xdr:sp macro="" textlink="">
      <xdr:nvSpPr>
        <xdr:cNvPr id="49078" name="Прямоугольник 49077">
          <a:extLst>
            <a:ext uri="{FF2B5EF4-FFF2-40B4-BE49-F238E27FC236}">
              <a16:creationId xmlns:a16="http://schemas.microsoft.com/office/drawing/2014/main" id="{0FBB7288-B5FA-75EA-1CD7-7BEF77CD41EB}"/>
            </a:ext>
          </a:extLst>
        </xdr:cNvPr>
        <xdr:cNvSpPr/>
      </xdr:nvSpPr>
      <xdr:spPr>
        <a:xfrm>
          <a:off x="520700" y="477520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30</xdr:row>
      <xdr:rowOff>26194</xdr:rowOff>
    </xdr:from>
    <xdr:to>
      <xdr:col>2</xdr:col>
      <xdr:colOff>271462</xdr:colOff>
      <xdr:row>30</xdr:row>
      <xdr:rowOff>99219</xdr:rowOff>
    </xdr:to>
    <xdr:sp macro="" textlink="">
      <xdr:nvSpPr>
        <xdr:cNvPr id="49079" name="Прямоугольник 49078">
          <a:extLst>
            <a:ext uri="{FF2B5EF4-FFF2-40B4-BE49-F238E27FC236}">
              <a16:creationId xmlns:a16="http://schemas.microsoft.com/office/drawing/2014/main" id="{0EE4A58A-DCBF-6E14-41BC-12E0C7C213B7}"/>
            </a:ext>
          </a:extLst>
        </xdr:cNvPr>
        <xdr:cNvSpPr/>
      </xdr:nvSpPr>
      <xdr:spPr>
        <a:xfrm>
          <a:off x="520700" y="484822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30</xdr:row>
      <xdr:rowOff>99219</xdr:rowOff>
    </xdr:from>
    <xdr:to>
      <xdr:col>2</xdr:col>
      <xdr:colOff>271462</xdr:colOff>
      <xdr:row>31</xdr:row>
      <xdr:rowOff>11509</xdr:rowOff>
    </xdr:to>
    <xdr:sp macro="" textlink="">
      <xdr:nvSpPr>
        <xdr:cNvPr id="49080" name="Прямоугольник 49079">
          <a:extLst>
            <a:ext uri="{FF2B5EF4-FFF2-40B4-BE49-F238E27FC236}">
              <a16:creationId xmlns:a16="http://schemas.microsoft.com/office/drawing/2014/main" id="{7842B0CF-E82F-5D21-6667-7A7AB8AAC887}"/>
            </a:ext>
          </a:extLst>
        </xdr:cNvPr>
        <xdr:cNvSpPr/>
      </xdr:nvSpPr>
      <xdr:spPr>
        <a:xfrm>
          <a:off x="520700" y="492125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33</xdr:row>
      <xdr:rowOff>39291</xdr:rowOff>
    </xdr:from>
    <xdr:to>
      <xdr:col>2</xdr:col>
      <xdr:colOff>271462</xdr:colOff>
      <xdr:row>33</xdr:row>
      <xdr:rowOff>112316</xdr:rowOff>
    </xdr:to>
    <xdr:sp macro="" textlink="">
      <xdr:nvSpPr>
        <xdr:cNvPr id="49081" name="Прямоугольник 49080">
          <a:extLst>
            <a:ext uri="{FF2B5EF4-FFF2-40B4-BE49-F238E27FC236}">
              <a16:creationId xmlns:a16="http://schemas.microsoft.com/office/drawing/2014/main" id="{528AC571-DCEC-1942-82B8-2B5370380913}"/>
            </a:ext>
          </a:extLst>
        </xdr:cNvPr>
        <xdr:cNvSpPr/>
      </xdr:nvSpPr>
      <xdr:spPr>
        <a:xfrm>
          <a:off x="520700" y="534352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33</xdr:row>
      <xdr:rowOff>112316</xdr:rowOff>
    </xdr:from>
    <xdr:to>
      <xdr:col>2</xdr:col>
      <xdr:colOff>271462</xdr:colOff>
      <xdr:row>34</xdr:row>
      <xdr:rowOff>24606</xdr:rowOff>
    </xdr:to>
    <xdr:sp macro="" textlink="">
      <xdr:nvSpPr>
        <xdr:cNvPr id="49082" name="Прямоугольник 49081">
          <a:extLst>
            <a:ext uri="{FF2B5EF4-FFF2-40B4-BE49-F238E27FC236}">
              <a16:creationId xmlns:a16="http://schemas.microsoft.com/office/drawing/2014/main" id="{B0ADC183-92EA-4E1B-D44D-516DC1B7AC3E}"/>
            </a:ext>
          </a:extLst>
        </xdr:cNvPr>
        <xdr:cNvSpPr/>
      </xdr:nvSpPr>
      <xdr:spPr>
        <a:xfrm>
          <a:off x="520700" y="541655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34</xdr:row>
      <xdr:rowOff>24606</xdr:rowOff>
    </xdr:from>
    <xdr:to>
      <xdr:col>2</xdr:col>
      <xdr:colOff>271462</xdr:colOff>
      <xdr:row>34</xdr:row>
      <xdr:rowOff>97631</xdr:rowOff>
    </xdr:to>
    <xdr:sp macro="" textlink="">
      <xdr:nvSpPr>
        <xdr:cNvPr id="49083" name="Прямоугольник 49082">
          <a:extLst>
            <a:ext uri="{FF2B5EF4-FFF2-40B4-BE49-F238E27FC236}">
              <a16:creationId xmlns:a16="http://schemas.microsoft.com/office/drawing/2014/main" id="{9F107157-64F7-FD87-0C52-BB8CE6200D76}"/>
            </a:ext>
          </a:extLst>
        </xdr:cNvPr>
        <xdr:cNvSpPr/>
      </xdr:nvSpPr>
      <xdr:spPr>
        <a:xfrm>
          <a:off x="520700" y="548957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34</xdr:row>
      <xdr:rowOff>97631</xdr:rowOff>
    </xdr:from>
    <xdr:to>
      <xdr:col>2</xdr:col>
      <xdr:colOff>271462</xdr:colOff>
      <xdr:row>35</xdr:row>
      <xdr:rowOff>9922</xdr:rowOff>
    </xdr:to>
    <xdr:sp macro="" textlink="">
      <xdr:nvSpPr>
        <xdr:cNvPr id="49084" name="Прямоугольник 49083">
          <a:extLst>
            <a:ext uri="{FF2B5EF4-FFF2-40B4-BE49-F238E27FC236}">
              <a16:creationId xmlns:a16="http://schemas.microsoft.com/office/drawing/2014/main" id="{D406F59C-E09D-A7C7-4609-9E08AF2F4473}"/>
            </a:ext>
          </a:extLst>
        </xdr:cNvPr>
        <xdr:cNvSpPr/>
      </xdr:nvSpPr>
      <xdr:spPr>
        <a:xfrm>
          <a:off x="520700" y="556260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35</xdr:row>
      <xdr:rowOff>9922</xdr:rowOff>
    </xdr:from>
    <xdr:to>
      <xdr:col>2</xdr:col>
      <xdr:colOff>271462</xdr:colOff>
      <xdr:row>35</xdr:row>
      <xdr:rowOff>82947</xdr:rowOff>
    </xdr:to>
    <xdr:sp macro="" textlink="">
      <xdr:nvSpPr>
        <xdr:cNvPr id="49085" name="Прямоугольник 49084">
          <a:extLst>
            <a:ext uri="{FF2B5EF4-FFF2-40B4-BE49-F238E27FC236}">
              <a16:creationId xmlns:a16="http://schemas.microsoft.com/office/drawing/2014/main" id="{292081CB-D373-022D-CD13-B2E753BD6D8A}"/>
            </a:ext>
          </a:extLst>
        </xdr:cNvPr>
        <xdr:cNvSpPr/>
      </xdr:nvSpPr>
      <xdr:spPr>
        <a:xfrm>
          <a:off x="520700" y="563562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35</xdr:row>
      <xdr:rowOff>82947</xdr:rowOff>
    </xdr:from>
    <xdr:to>
      <xdr:col>2</xdr:col>
      <xdr:colOff>271462</xdr:colOff>
      <xdr:row>35</xdr:row>
      <xdr:rowOff>155972</xdr:rowOff>
    </xdr:to>
    <xdr:sp macro="" textlink="">
      <xdr:nvSpPr>
        <xdr:cNvPr id="49086" name="Прямоугольник 49085">
          <a:extLst>
            <a:ext uri="{FF2B5EF4-FFF2-40B4-BE49-F238E27FC236}">
              <a16:creationId xmlns:a16="http://schemas.microsoft.com/office/drawing/2014/main" id="{C794ADFD-906E-C039-4D1A-7FCD9010B863}"/>
            </a:ext>
          </a:extLst>
        </xdr:cNvPr>
        <xdr:cNvSpPr/>
      </xdr:nvSpPr>
      <xdr:spPr>
        <a:xfrm>
          <a:off x="520700" y="570865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35</xdr:row>
      <xdr:rowOff>155972</xdr:rowOff>
    </xdr:from>
    <xdr:to>
      <xdr:col>2</xdr:col>
      <xdr:colOff>271462</xdr:colOff>
      <xdr:row>36</xdr:row>
      <xdr:rowOff>68262</xdr:rowOff>
    </xdr:to>
    <xdr:sp macro="" textlink="">
      <xdr:nvSpPr>
        <xdr:cNvPr id="49087" name="Прямоугольник 49086">
          <a:extLst>
            <a:ext uri="{FF2B5EF4-FFF2-40B4-BE49-F238E27FC236}">
              <a16:creationId xmlns:a16="http://schemas.microsoft.com/office/drawing/2014/main" id="{E11D47A3-06CA-69C2-9336-CB8DECC01236}"/>
            </a:ext>
          </a:extLst>
        </xdr:cNvPr>
        <xdr:cNvSpPr/>
      </xdr:nvSpPr>
      <xdr:spPr>
        <a:xfrm>
          <a:off x="520700" y="5781675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520700</xdr:colOff>
      <xdr:row>36</xdr:row>
      <xdr:rowOff>68262</xdr:rowOff>
    </xdr:from>
    <xdr:to>
      <xdr:col>2</xdr:col>
      <xdr:colOff>271462</xdr:colOff>
      <xdr:row>36</xdr:row>
      <xdr:rowOff>141287</xdr:rowOff>
    </xdr:to>
    <xdr:sp macro="" textlink="">
      <xdr:nvSpPr>
        <xdr:cNvPr id="49088" name="Прямоугольник 49087">
          <a:extLst>
            <a:ext uri="{FF2B5EF4-FFF2-40B4-BE49-F238E27FC236}">
              <a16:creationId xmlns:a16="http://schemas.microsoft.com/office/drawing/2014/main" id="{8C4217F8-7BE5-34E8-3C6A-639EB5B9AF2B}"/>
            </a:ext>
          </a:extLst>
        </xdr:cNvPr>
        <xdr:cNvSpPr/>
      </xdr:nvSpPr>
      <xdr:spPr>
        <a:xfrm>
          <a:off x="520700" y="5854700"/>
          <a:ext cx="965200" cy="73025"/>
        </a:xfrm>
        <a:prstGeom prst="rect">
          <a:avLst/>
        </a:prstGeom>
        <a:solidFill>
          <a:srgbClr val="9EDAE5"/>
        </a:solidFill>
        <a:ln w="3175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508000</xdr:colOff>
      <xdr:row>48</xdr:row>
      <xdr:rowOff>158750</xdr:rowOff>
    </xdr:from>
    <xdr:to>
      <xdr:col>9</xdr:col>
      <xdr:colOff>123031</xdr:colOff>
      <xdr:row>50</xdr:row>
      <xdr:rowOff>65881</xdr:rowOff>
    </xdr:to>
    <xdr:sp macro="" textlink="">
      <xdr:nvSpPr>
        <xdr:cNvPr id="49089" name="TextBox 49088">
          <a:extLst>
            <a:ext uri="{FF2B5EF4-FFF2-40B4-BE49-F238E27FC236}">
              <a16:creationId xmlns:a16="http://schemas.microsoft.com/office/drawing/2014/main" id="{C41E6737-C7CF-C686-D018-477299CFC082}"/>
            </a:ext>
          </a:extLst>
        </xdr:cNvPr>
        <xdr:cNvSpPr txBox="1"/>
      </xdr:nvSpPr>
      <xdr:spPr>
        <a:xfrm>
          <a:off x="508000" y="7874000"/>
          <a:ext cx="5080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1100" b="1">
              <a:solidFill>
                <a:srgbClr val="000000"/>
              </a:solidFill>
            </a:rPr>
            <a:t>ЛЕГЕНДА</a:t>
          </a:r>
        </a:p>
      </xdr:txBody>
    </xdr:sp>
    <xdr:clientData/>
  </xdr:twoCellAnchor>
  <xdr:twoCellAnchor>
    <xdr:from>
      <xdr:col>0</xdr:col>
      <xdr:colOff>508000</xdr:colOff>
      <xdr:row>50</xdr:row>
      <xdr:rowOff>142081</xdr:rowOff>
    </xdr:from>
    <xdr:to>
      <xdr:col>1</xdr:col>
      <xdr:colOff>103981</xdr:colOff>
      <xdr:row>51</xdr:row>
      <xdr:rowOff>159147</xdr:rowOff>
    </xdr:to>
    <xdr:sp macro="" textlink="">
      <xdr:nvSpPr>
        <xdr:cNvPr id="49090" name="Прямоугольник 49089">
          <a:extLst>
            <a:ext uri="{FF2B5EF4-FFF2-40B4-BE49-F238E27FC236}">
              <a16:creationId xmlns:a16="http://schemas.microsoft.com/office/drawing/2014/main" id="{15AC89A6-5C39-2B4E-F13A-DC2DACF97358}"/>
            </a:ext>
          </a:extLst>
        </xdr:cNvPr>
        <xdr:cNvSpPr/>
      </xdr:nvSpPr>
      <xdr:spPr>
        <a:xfrm>
          <a:off x="508000" y="8178800"/>
          <a:ext cx="203200" cy="177800"/>
        </a:xfrm>
        <a:prstGeom prst="rect">
          <a:avLst/>
        </a:prstGeom>
        <a:solidFill>
          <a:srgbClr val="2CA02C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50</xdr:row>
      <xdr:rowOff>116681</xdr:rowOff>
    </xdr:from>
    <xdr:to>
      <xdr:col>10</xdr:col>
      <xdr:colOff>557212</xdr:colOff>
      <xdr:row>52</xdr:row>
      <xdr:rowOff>23812</xdr:rowOff>
    </xdr:to>
    <xdr:sp macro="" textlink="">
      <xdr:nvSpPr>
        <xdr:cNvPr id="49091" name="TextBox 49090">
          <a:extLst>
            <a:ext uri="{FF2B5EF4-FFF2-40B4-BE49-F238E27FC236}">
              <a16:creationId xmlns:a16="http://schemas.microsoft.com/office/drawing/2014/main" id="{4099AD0E-69C3-5E56-57AC-1AEB61DD04C4}"/>
            </a:ext>
          </a:extLst>
        </xdr:cNvPr>
        <xdr:cNvSpPr txBox="1"/>
      </xdr:nvSpPr>
      <xdr:spPr>
        <a:xfrm>
          <a:off x="787400" y="81534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AIO.2.32/2.CLU22   (164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1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52</xdr:row>
      <xdr:rowOff>61912</xdr:rowOff>
    </xdr:from>
    <xdr:to>
      <xdr:col>1</xdr:col>
      <xdr:colOff>103981</xdr:colOff>
      <xdr:row>53</xdr:row>
      <xdr:rowOff>78978</xdr:rowOff>
    </xdr:to>
    <xdr:sp macro="" textlink="">
      <xdr:nvSpPr>
        <xdr:cNvPr id="49092" name="Прямоугольник 49091">
          <a:extLst>
            <a:ext uri="{FF2B5EF4-FFF2-40B4-BE49-F238E27FC236}">
              <a16:creationId xmlns:a16="http://schemas.microsoft.com/office/drawing/2014/main" id="{34591A74-B3FB-1725-CAED-B750C84947C3}"/>
            </a:ext>
          </a:extLst>
        </xdr:cNvPr>
        <xdr:cNvSpPr/>
      </xdr:nvSpPr>
      <xdr:spPr>
        <a:xfrm>
          <a:off x="508000" y="8420100"/>
          <a:ext cx="203200" cy="177800"/>
        </a:xfrm>
        <a:prstGeom prst="rect">
          <a:avLst/>
        </a:prstGeom>
        <a:solidFill>
          <a:srgbClr val="9467BD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52</xdr:row>
      <xdr:rowOff>36512</xdr:rowOff>
    </xdr:from>
    <xdr:to>
      <xdr:col>10</xdr:col>
      <xdr:colOff>557212</xdr:colOff>
      <xdr:row>53</xdr:row>
      <xdr:rowOff>104378</xdr:rowOff>
    </xdr:to>
    <xdr:sp macro="" textlink="">
      <xdr:nvSpPr>
        <xdr:cNvPr id="49093" name="TextBox 49092">
          <a:extLst>
            <a:ext uri="{FF2B5EF4-FFF2-40B4-BE49-F238E27FC236}">
              <a16:creationId xmlns:a16="http://schemas.microsoft.com/office/drawing/2014/main" id="{F9D0F0B2-B438-16BE-1D3C-9702892E2647}"/>
            </a:ext>
          </a:extLst>
        </xdr:cNvPr>
        <xdr:cNvSpPr txBox="1"/>
      </xdr:nvSpPr>
      <xdr:spPr>
        <a:xfrm>
          <a:off x="787400" y="83947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AIO.1.16/2.CLU2   (157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4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53</xdr:row>
      <xdr:rowOff>142478</xdr:rowOff>
    </xdr:from>
    <xdr:to>
      <xdr:col>1</xdr:col>
      <xdr:colOff>103981</xdr:colOff>
      <xdr:row>54</xdr:row>
      <xdr:rowOff>159544</xdr:rowOff>
    </xdr:to>
    <xdr:sp macro="" textlink="">
      <xdr:nvSpPr>
        <xdr:cNvPr id="49094" name="Прямоугольник 49093">
          <a:extLst>
            <a:ext uri="{FF2B5EF4-FFF2-40B4-BE49-F238E27FC236}">
              <a16:creationId xmlns:a16="http://schemas.microsoft.com/office/drawing/2014/main" id="{5C74E34F-6227-ED37-1506-B4A4B55A0C24}"/>
            </a:ext>
          </a:extLst>
        </xdr:cNvPr>
        <xdr:cNvSpPr/>
      </xdr:nvSpPr>
      <xdr:spPr>
        <a:xfrm>
          <a:off x="508000" y="8661400"/>
          <a:ext cx="203200" cy="177800"/>
        </a:xfrm>
        <a:prstGeom prst="rect">
          <a:avLst/>
        </a:prstGeom>
        <a:solidFill>
          <a:srgbClr val="8C564B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53</xdr:row>
      <xdr:rowOff>117078</xdr:rowOff>
    </xdr:from>
    <xdr:to>
      <xdr:col>10</xdr:col>
      <xdr:colOff>557212</xdr:colOff>
      <xdr:row>55</xdr:row>
      <xdr:rowOff>24209</xdr:rowOff>
    </xdr:to>
    <xdr:sp macro="" textlink="">
      <xdr:nvSpPr>
        <xdr:cNvPr id="49095" name="TextBox 49094">
          <a:extLst>
            <a:ext uri="{FF2B5EF4-FFF2-40B4-BE49-F238E27FC236}">
              <a16:creationId xmlns:a16="http://schemas.microsoft.com/office/drawing/2014/main" id="{1C0E4B83-96DB-BC44-16B0-7CBF78E955DD}"/>
            </a:ext>
          </a:extLst>
        </xdr:cNvPr>
        <xdr:cNvSpPr txBox="1"/>
      </xdr:nvSpPr>
      <xdr:spPr>
        <a:xfrm>
          <a:off x="787400" y="86360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AIO.1.00/2.CLU2   (157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22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55</xdr:row>
      <xdr:rowOff>62309</xdr:rowOff>
    </xdr:from>
    <xdr:to>
      <xdr:col>1</xdr:col>
      <xdr:colOff>103981</xdr:colOff>
      <xdr:row>56</xdr:row>
      <xdr:rowOff>79375</xdr:rowOff>
    </xdr:to>
    <xdr:sp macro="" textlink="">
      <xdr:nvSpPr>
        <xdr:cNvPr id="49096" name="Прямоугольник 49095">
          <a:extLst>
            <a:ext uri="{FF2B5EF4-FFF2-40B4-BE49-F238E27FC236}">
              <a16:creationId xmlns:a16="http://schemas.microsoft.com/office/drawing/2014/main" id="{1EA5E580-1521-E0A9-7C61-E076F96B1E21}"/>
            </a:ext>
          </a:extLst>
        </xdr:cNvPr>
        <xdr:cNvSpPr/>
      </xdr:nvSpPr>
      <xdr:spPr>
        <a:xfrm>
          <a:off x="508000" y="8902700"/>
          <a:ext cx="203200" cy="177800"/>
        </a:xfrm>
        <a:prstGeom prst="rect">
          <a:avLst/>
        </a:prstGeom>
        <a:solidFill>
          <a:srgbClr val="E377C2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55</xdr:row>
      <xdr:rowOff>36909</xdr:rowOff>
    </xdr:from>
    <xdr:to>
      <xdr:col>10</xdr:col>
      <xdr:colOff>557212</xdr:colOff>
      <xdr:row>56</xdr:row>
      <xdr:rowOff>104775</xdr:rowOff>
    </xdr:to>
    <xdr:sp macro="" textlink="">
      <xdr:nvSpPr>
        <xdr:cNvPr id="49097" name="TextBox 49096">
          <a:extLst>
            <a:ext uri="{FF2B5EF4-FFF2-40B4-BE49-F238E27FC236}">
              <a16:creationId xmlns:a16="http://schemas.microsoft.com/office/drawing/2014/main" id="{A7D116E6-A7C6-CEE0-8116-8E341F61EDCE}"/>
            </a:ext>
          </a:extLst>
        </xdr:cNvPr>
        <xdr:cNvSpPr txBox="1"/>
      </xdr:nvSpPr>
      <xdr:spPr>
        <a:xfrm>
          <a:off x="787400" y="88773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DIO.64.CLD   (157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3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56</xdr:row>
      <xdr:rowOff>142875</xdr:rowOff>
    </xdr:from>
    <xdr:to>
      <xdr:col>1</xdr:col>
      <xdr:colOff>103981</xdr:colOff>
      <xdr:row>57</xdr:row>
      <xdr:rowOff>159941</xdr:rowOff>
    </xdr:to>
    <xdr:sp macro="" textlink="">
      <xdr:nvSpPr>
        <xdr:cNvPr id="49098" name="Прямоугольник 49097">
          <a:extLst>
            <a:ext uri="{FF2B5EF4-FFF2-40B4-BE49-F238E27FC236}">
              <a16:creationId xmlns:a16="http://schemas.microsoft.com/office/drawing/2014/main" id="{4A28A6C3-2F8B-8B80-19E2-619E5AE6308E}"/>
            </a:ext>
          </a:extLst>
        </xdr:cNvPr>
        <xdr:cNvSpPr/>
      </xdr:nvSpPr>
      <xdr:spPr>
        <a:xfrm>
          <a:off x="508000" y="9144000"/>
          <a:ext cx="203200" cy="177800"/>
        </a:xfrm>
        <a:prstGeom prst="rect">
          <a:avLst/>
        </a:prstGeom>
        <a:solidFill>
          <a:srgbClr val="7F7F7F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56</xdr:row>
      <xdr:rowOff>117475</xdr:rowOff>
    </xdr:from>
    <xdr:to>
      <xdr:col>10</xdr:col>
      <xdr:colOff>557212</xdr:colOff>
      <xdr:row>58</xdr:row>
      <xdr:rowOff>24606</xdr:rowOff>
    </xdr:to>
    <xdr:sp macro="" textlink="">
      <xdr:nvSpPr>
        <xdr:cNvPr id="49099" name="TextBox 49098">
          <a:extLst>
            <a:ext uri="{FF2B5EF4-FFF2-40B4-BE49-F238E27FC236}">
              <a16:creationId xmlns:a16="http://schemas.microsoft.com/office/drawing/2014/main" id="{4CABC914-8EF6-DECE-AAB6-8DE3FC438B0D}"/>
            </a:ext>
          </a:extLst>
        </xdr:cNvPr>
        <xdr:cNvSpPr txBox="1"/>
      </xdr:nvSpPr>
      <xdr:spPr>
        <a:xfrm>
          <a:off x="787400" y="91186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KDI.8AC220   (110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3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58</xdr:row>
      <xdr:rowOff>62706</xdr:rowOff>
    </xdr:from>
    <xdr:to>
      <xdr:col>1</xdr:col>
      <xdr:colOff>103981</xdr:colOff>
      <xdr:row>59</xdr:row>
      <xdr:rowOff>79772</xdr:rowOff>
    </xdr:to>
    <xdr:sp macro="" textlink="">
      <xdr:nvSpPr>
        <xdr:cNvPr id="49100" name="Прямоугольник 49099">
          <a:extLst>
            <a:ext uri="{FF2B5EF4-FFF2-40B4-BE49-F238E27FC236}">
              <a16:creationId xmlns:a16="http://schemas.microsoft.com/office/drawing/2014/main" id="{B1AB6637-028B-9575-88D0-6A0EA82D456C}"/>
            </a:ext>
          </a:extLst>
        </xdr:cNvPr>
        <xdr:cNvSpPr/>
      </xdr:nvSpPr>
      <xdr:spPr>
        <a:xfrm>
          <a:off x="508000" y="9385300"/>
          <a:ext cx="203200" cy="177800"/>
        </a:xfrm>
        <a:prstGeom prst="rect">
          <a:avLst/>
        </a:prstGeom>
        <a:solidFill>
          <a:srgbClr val="BCBD22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58</xdr:row>
      <xdr:rowOff>37306</xdr:rowOff>
    </xdr:from>
    <xdr:to>
      <xdr:col>10</xdr:col>
      <xdr:colOff>557212</xdr:colOff>
      <xdr:row>59</xdr:row>
      <xdr:rowOff>105172</xdr:rowOff>
    </xdr:to>
    <xdr:sp macro="" textlink="">
      <xdr:nvSpPr>
        <xdr:cNvPr id="49101" name="TextBox 49100">
          <a:extLst>
            <a:ext uri="{FF2B5EF4-FFF2-40B4-BE49-F238E27FC236}">
              <a16:creationId xmlns:a16="http://schemas.microsoft.com/office/drawing/2014/main" id="{73315A03-8AFD-A55C-4441-FE1C93C1E4C0}"/>
            </a:ext>
          </a:extLst>
        </xdr:cNvPr>
        <xdr:cNvSpPr txBox="1"/>
      </xdr:nvSpPr>
      <xdr:spPr>
        <a:xfrm>
          <a:off x="787400" y="93599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KDI.8DC24   (110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15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59</xdr:row>
      <xdr:rowOff>143272</xdr:rowOff>
    </xdr:from>
    <xdr:to>
      <xdr:col>1</xdr:col>
      <xdr:colOff>103981</xdr:colOff>
      <xdr:row>60</xdr:row>
      <xdr:rowOff>160337</xdr:rowOff>
    </xdr:to>
    <xdr:sp macro="" textlink="">
      <xdr:nvSpPr>
        <xdr:cNvPr id="49102" name="Прямоугольник 49101">
          <a:extLst>
            <a:ext uri="{FF2B5EF4-FFF2-40B4-BE49-F238E27FC236}">
              <a16:creationId xmlns:a16="http://schemas.microsoft.com/office/drawing/2014/main" id="{D0B230A7-DDCF-BA43-5793-5848E04CC980}"/>
            </a:ext>
          </a:extLst>
        </xdr:cNvPr>
        <xdr:cNvSpPr/>
      </xdr:nvSpPr>
      <xdr:spPr>
        <a:xfrm>
          <a:off x="508000" y="9626600"/>
          <a:ext cx="203200" cy="177800"/>
        </a:xfrm>
        <a:prstGeom prst="rect">
          <a:avLst/>
        </a:prstGeom>
        <a:solidFill>
          <a:srgbClr val="17BECF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59</xdr:row>
      <xdr:rowOff>117872</xdr:rowOff>
    </xdr:from>
    <xdr:to>
      <xdr:col>10</xdr:col>
      <xdr:colOff>557212</xdr:colOff>
      <xdr:row>61</xdr:row>
      <xdr:rowOff>25003</xdr:rowOff>
    </xdr:to>
    <xdr:sp macro="" textlink="">
      <xdr:nvSpPr>
        <xdr:cNvPr id="49103" name="TextBox 49102">
          <a:extLst>
            <a:ext uri="{FF2B5EF4-FFF2-40B4-BE49-F238E27FC236}">
              <a16:creationId xmlns:a16="http://schemas.microsoft.com/office/drawing/2014/main" id="{B0645B6D-9CD0-3EAE-21F7-C61400DA7FAE}"/>
            </a:ext>
          </a:extLst>
        </xdr:cNvPr>
        <xdr:cNvSpPr txBox="1"/>
      </xdr:nvSpPr>
      <xdr:spPr>
        <a:xfrm>
          <a:off x="787400" y="96012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KDO.8R   (100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3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61</xdr:row>
      <xdr:rowOff>63103</xdr:rowOff>
    </xdr:from>
    <xdr:to>
      <xdr:col>1</xdr:col>
      <xdr:colOff>103981</xdr:colOff>
      <xdr:row>62</xdr:row>
      <xdr:rowOff>80169</xdr:rowOff>
    </xdr:to>
    <xdr:sp macro="" textlink="">
      <xdr:nvSpPr>
        <xdr:cNvPr id="49104" name="Прямоугольник 49103">
          <a:extLst>
            <a:ext uri="{FF2B5EF4-FFF2-40B4-BE49-F238E27FC236}">
              <a16:creationId xmlns:a16="http://schemas.microsoft.com/office/drawing/2014/main" id="{84049255-C3B9-EFA8-115B-989E873E7637}"/>
            </a:ext>
          </a:extLst>
        </xdr:cNvPr>
        <xdr:cNvSpPr/>
      </xdr:nvSpPr>
      <xdr:spPr>
        <a:xfrm>
          <a:off x="508000" y="9867900"/>
          <a:ext cx="203200" cy="177800"/>
        </a:xfrm>
        <a:prstGeom prst="rect">
          <a:avLst/>
        </a:prstGeom>
        <a:solidFill>
          <a:srgbClr val="AEC7E8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61</xdr:row>
      <xdr:rowOff>37703</xdr:rowOff>
    </xdr:from>
    <xdr:to>
      <xdr:col>10</xdr:col>
      <xdr:colOff>557212</xdr:colOff>
      <xdr:row>62</xdr:row>
      <xdr:rowOff>105569</xdr:rowOff>
    </xdr:to>
    <xdr:sp macro="" textlink="">
      <xdr:nvSpPr>
        <xdr:cNvPr id="49105" name="TextBox 49104">
          <a:extLst>
            <a:ext uri="{FF2B5EF4-FFF2-40B4-BE49-F238E27FC236}">
              <a16:creationId xmlns:a16="http://schemas.microsoft.com/office/drawing/2014/main" id="{D0E1039E-F75C-FE20-707C-A869EF7B06E7}"/>
            </a:ext>
          </a:extLst>
        </xdr:cNvPr>
        <xdr:cNvSpPr txBox="1"/>
      </xdr:nvSpPr>
      <xdr:spPr>
        <a:xfrm>
          <a:off x="787400" y="98425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KDO.8SR   (100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6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62</xdr:row>
      <xdr:rowOff>143669</xdr:rowOff>
    </xdr:from>
    <xdr:to>
      <xdr:col>1</xdr:col>
      <xdr:colOff>103981</xdr:colOff>
      <xdr:row>64</xdr:row>
      <xdr:rowOff>0</xdr:rowOff>
    </xdr:to>
    <xdr:sp macro="" textlink="">
      <xdr:nvSpPr>
        <xdr:cNvPr id="49106" name="Прямоугольник 49105">
          <a:extLst>
            <a:ext uri="{FF2B5EF4-FFF2-40B4-BE49-F238E27FC236}">
              <a16:creationId xmlns:a16="http://schemas.microsoft.com/office/drawing/2014/main" id="{68C2F758-79A5-CFD5-4D5E-1E8EB324F35A}"/>
            </a:ext>
          </a:extLst>
        </xdr:cNvPr>
        <xdr:cNvSpPr/>
      </xdr:nvSpPr>
      <xdr:spPr>
        <a:xfrm>
          <a:off x="508000" y="10109200"/>
          <a:ext cx="203200" cy="177800"/>
        </a:xfrm>
        <a:prstGeom prst="rect">
          <a:avLst/>
        </a:prstGeom>
        <a:solidFill>
          <a:srgbClr val="FFBB78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62</xdr:row>
      <xdr:rowOff>118269</xdr:rowOff>
    </xdr:from>
    <xdr:to>
      <xdr:col>10</xdr:col>
      <xdr:colOff>557212</xdr:colOff>
      <xdr:row>64</xdr:row>
      <xdr:rowOff>25400</xdr:rowOff>
    </xdr:to>
    <xdr:sp macro="" textlink="">
      <xdr:nvSpPr>
        <xdr:cNvPr id="49107" name="TextBox 49106">
          <a:extLst>
            <a:ext uri="{FF2B5EF4-FFF2-40B4-BE49-F238E27FC236}">
              <a16:creationId xmlns:a16="http://schemas.microsoft.com/office/drawing/2014/main" id="{CE36AD36-FE2A-68EA-1A8D-5DF97EBDBF94}"/>
            </a:ext>
          </a:extLst>
        </xdr:cNvPr>
        <xdr:cNvSpPr txBox="1"/>
      </xdr:nvSpPr>
      <xdr:spPr>
        <a:xfrm>
          <a:off x="787400" y="100838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TREI S240HC-0   (112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4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64</xdr:row>
      <xdr:rowOff>63500</xdr:rowOff>
    </xdr:from>
    <xdr:to>
      <xdr:col>1</xdr:col>
      <xdr:colOff>103981</xdr:colOff>
      <xdr:row>65</xdr:row>
      <xdr:rowOff>80566</xdr:rowOff>
    </xdr:to>
    <xdr:sp macro="" textlink="">
      <xdr:nvSpPr>
        <xdr:cNvPr id="49108" name="Прямоугольник 49107">
          <a:extLst>
            <a:ext uri="{FF2B5EF4-FFF2-40B4-BE49-F238E27FC236}">
              <a16:creationId xmlns:a16="http://schemas.microsoft.com/office/drawing/2014/main" id="{66E7537D-5B95-D94B-6B33-4E14956B4AE3}"/>
            </a:ext>
          </a:extLst>
        </xdr:cNvPr>
        <xdr:cNvSpPr/>
      </xdr:nvSpPr>
      <xdr:spPr>
        <a:xfrm>
          <a:off x="508000" y="10350500"/>
          <a:ext cx="203200" cy="177800"/>
        </a:xfrm>
        <a:prstGeom prst="rect">
          <a:avLst/>
        </a:prstGeom>
        <a:solidFill>
          <a:srgbClr val="98DF8A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64</xdr:row>
      <xdr:rowOff>38100</xdr:rowOff>
    </xdr:from>
    <xdr:to>
      <xdr:col>10</xdr:col>
      <xdr:colOff>557212</xdr:colOff>
      <xdr:row>65</xdr:row>
      <xdr:rowOff>105966</xdr:rowOff>
    </xdr:to>
    <xdr:sp macro="" textlink="">
      <xdr:nvSpPr>
        <xdr:cNvPr id="49109" name="TextBox 49108">
          <a:extLst>
            <a:ext uri="{FF2B5EF4-FFF2-40B4-BE49-F238E27FC236}">
              <a16:creationId xmlns:a16="http://schemas.microsoft.com/office/drawing/2014/main" id="{D45068D3-4563-657F-3B6A-DD21DFDFBD13}"/>
            </a:ext>
          </a:extLst>
        </xdr:cNvPr>
        <xdr:cNvSpPr txBox="1"/>
      </xdr:nvSpPr>
      <xdr:spPr>
        <a:xfrm>
          <a:off x="787400" y="103251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en-US" sz="850" b="0">
              <a:solidFill>
                <a:srgbClr val="1E1E1E"/>
              </a:solidFill>
            </a:rPr>
            <a:t>tDS-718 CR   (90 </a:t>
          </a:r>
          <a:r>
            <a:rPr lang="ru-RU" sz="850" b="0">
              <a:solidFill>
                <a:srgbClr val="1E1E1E"/>
              </a:solidFill>
            </a:rPr>
            <a:t>мм </a:t>
          </a:r>
          <a:r>
            <a:rPr lang="en-US" sz="850" b="0">
              <a:solidFill>
                <a:srgbClr val="1E1E1E"/>
              </a:solidFill>
            </a:rPr>
            <a:t>x 4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65</xdr:row>
      <xdr:rowOff>144066</xdr:rowOff>
    </xdr:from>
    <xdr:to>
      <xdr:col>1</xdr:col>
      <xdr:colOff>103981</xdr:colOff>
      <xdr:row>67</xdr:row>
      <xdr:rowOff>397</xdr:rowOff>
    </xdr:to>
    <xdr:sp macro="" textlink="">
      <xdr:nvSpPr>
        <xdr:cNvPr id="49110" name="Прямоугольник 49109">
          <a:extLst>
            <a:ext uri="{FF2B5EF4-FFF2-40B4-BE49-F238E27FC236}">
              <a16:creationId xmlns:a16="http://schemas.microsoft.com/office/drawing/2014/main" id="{8ADBE540-DACD-96CD-B93A-B66AF6BAD4BF}"/>
            </a:ext>
          </a:extLst>
        </xdr:cNvPr>
        <xdr:cNvSpPr/>
      </xdr:nvSpPr>
      <xdr:spPr>
        <a:xfrm>
          <a:off x="508000" y="10591800"/>
          <a:ext cx="203200" cy="177800"/>
        </a:xfrm>
        <a:prstGeom prst="rect">
          <a:avLst/>
        </a:prstGeom>
        <a:solidFill>
          <a:srgbClr val="FF9896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65</xdr:row>
      <xdr:rowOff>118666</xdr:rowOff>
    </xdr:from>
    <xdr:to>
      <xdr:col>10</xdr:col>
      <xdr:colOff>557212</xdr:colOff>
      <xdr:row>67</xdr:row>
      <xdr:rowOff>25797</xdr:rowOff>
    </xdr:to>
    <xdr:sp macro="" textlink="">
      <xdr:nvSpPr>
        <xdr:cNvPr id="49111" name="TextBox 49110">
          <a:extLst>
            <a:ext uri="{FF2B5EF4-FFF2-40B4-BE49-F238E27FC236}">
              <a16:creationId xmlns:a16="http://schemas.microsoft.com/office/drawing/2014/main" id="{02F75EDD-B9D5-FB5B-3012-0A881E19B85E}"/>
            </a:ext>
          </a:extLst>
        </xdr:cNvPr>
        <xdr:cNvSpPr txBox="1"/>
      </xdr:nvSpPr>
      <xdr:spPr>
        <a:xfrm>
          <a:off x="787400" y="105664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0">
              <a:solidFill>
                <a:srgbClr val="1E1E1E"/>
              </a:solidFill>
            </a:rPr>
            <a:t>ЛПА-350-110   (13 мм </a:t>
          </a:r>
          <a:r>
            <a:rPr lang="en-US" sz="850" b="0">
              <a:solidFill>
                <a:srgbClr val="1E1E1E"/>
              </a:solidFill>
            </a:rPr>
            <a:t>x 1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67</xdr:row>
      <xdr:rowOff>63897</xdr:rowOff>
    </xdr:from>
    <xdr:to>
      <xdr:col>1</xdr:col>
      <xdr:colOff>103981</xdr:colOff>
      <xdr:row>68</xdr:row>
      <xdr:rowOff>80962</xdr:rowOff>
    </xdr:to>
    <xdr:sp macro="" textlink="">
      <xdr:nvSpPr>
        <xdr:cNvPr id="49112" name="Прямоугольник 49111">
          <a:extLst>
            <a:ext uri="{FF2B5EF4-FFF2-40B4-BE49-F238E27FC236}">
              <a16:creationId xmlns:a16="http://schemas.microsoft.com/office/drawing/2014/main" id="{F87FBB17-B99E-3662-0964-C8BB4F60EF4E}"/>
            </a:ext>
          </a:extLst>
        </xdr:cNvPr>
        <xdr:cNvSpPr/>
      </xdr:nvSpPr>
      <xdr:spPr>
        <a:xfrm>
          <a:off x="508000" y="10833100"/>
          <a:ext cx="203200" cy="177800"/>
        </a:xfrm>
        <a:prstGeom prst="rect">
          <a:avLst/>
        </a:prstGeom>
        <a:solidFill>
          <a:srgbClr val="C5B0D5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67</xdr:row>
      <xdr:rowOff>38497</xdr:rowOff>
    </xdr:from>
    <xdr:to>
      <xdr:col>10</xdr:col>
      <xdr:colOff>557212</xdr:colOff>
      <xdr:row>68</xdr:row>
      <xdr:rowOff>106362</xdr:rowOff>
    </xdr:to>
    <xdr:sp macro="" textlink="">
      <xdr:nvSpPr>
        <xdr:cNvPr id="49113" name="TextBox 49112">
          <a:extLst>
            <a:ext uri="{FF2B5EF4-FFF2-40B4-BE49-F238E27FC236}">
              <a16:creationId xmlns:a16="http://schemas.microsoft.com/office/drawing/2014/main" id="{1D965DA8-FE49-07B8-AFFE-E06C1F72115A}"/>
            </a:ext>
          </a:extLst>
        </xdr:cNvPr>
        <xdr:cNvSpPr txBox="1"/>
      </xdr:nvSpPr>
      <xdr:spPr>
        <a:xfrm>
          <a:off x="787400" y="108077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0">
              <a:solidFill>
                <a:srgbClr val="1E1E1E"/>
              </a:solidFill>
            </a:rPr>
            <a:t>БИ-004-Б   (23 мм </a:t>
          </a:r>
          <a:r>
            <a:rPr lang="en-US" sz="850" b="0">
              <a:solidFill>
                <a:srgbClr val="1E1E1E"/>
              </a:solidFill>
            </a:rPr>
            <a:t>x 3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68</xdr:row>
      <xdr:rowOff>144462</xdr:rowOff>
    </xdr:from>
    <xdr:to>
      <xdr:col>1</xdr:col>
      <xdr:colOff>103981</xdr:colOff>
      <xdr:row>70</xdr:row>
      <xdr:rowOff>794</xdr:rowOff>
    </xdr:to>
    <xdr:sp macro="" textlink="">
      <xdr:nvSpPr>
        <xdr:cNvPr id="49114" name="Прямоугольник 49113">
          <a:extLst>
            <a:ext uri="{FF2B5EF4-FFF2-40B4-BE49-F238E27FC236}">
              <a16:creationId xmlns:a16="http://schemas.microsoft.com/office/drawing/2014/main" id="{8FFD5600-049B-F237-88E1-95FCA2705BED}"/>
            </a:ext>
          </a:extLst>
        </xdr:cNvPr>
        <xdr:cNvSpPr/>
      </xdr:nvSpPr>
      <xdr:spPr>
        <a:xfrm>
          <a:off x="508000" y="11074400"/>
          <a:ext cx="203200" cy="177800"/>
        </a:xfrm>
        <a:prstGeom prst="rect">
          <a:avLst/>
        </a:prstGeom>
        <a:solidFill>
          <a:srgbClr val="C49C94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68</xdr:row>
      <xdr:rowOff>119062</xdr:rowOff>
    </xdr:from>
    <xdr:to>
      <xdr:col>10</xdr:col>
      <xdr:colOff>557212</xdr:colOff>
      <xdr:row>70</xdr:row>
      <xdr:rowOff>26194</xdr:rowOff>
    </xdr:to>
    <xdr:sp macro="" textlink="">
      <xdr:nvSpPr>
        <xdr:cNvPr id="49115" name="TextBox 49114">
          <a:extLst>
            <a:ext uri="{FF2B5EF4-FFF2-40B4-BE49-F238E27FC236}">
              <a16:creationId xmlns:a16="http://schemas.microsoft.com/office/drawing/2014/main" id="{C4C73FC1-B989-6586-8AC2-9E6B09EB4C8E}"/>
            </a:ext>
          </a:extLst>
        </xdr:cNvPr>
        <xdr:cNvSpPr txBox="1"/>
      </xdr:nvSpPr>
      <xdr:spPr>
        <a:xfrm>
          <a:off x="787400" y="110490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0">
              <a:solidFill>
                <a:srgbClr val="1E1E1E"/>
              </a:solidFill>
            </a:rPr>
            <a:t>ЛПА-151-111   (23 мм </a:t>
          </a:r>
          <a:r>
            <a:rPr lang="en-US" sz="850" b="0">
              <a:solidFill>
                <a:srgbClr val="1E1E1E"/>
              </a:solidFill>
            </a:rPr>
            <a:t>x 5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70</xdr:row>
      <xdr:rowOff>64294</xdr:rowOff>
    </xdr:from>
    <xdr:to>
      <xdr:col>1</xdr:col>
      <xdr:colOff>103981</xdr:colOff>
      <xdr:row>71</xdr:row>
      <xdr:rowOff>81359</xdr:rowOff>
    </xdr:to>
    <xdr:sp macro="" textlink="">
      <xdr:nvSpPr>
        <xdr:cNvPr id="49116" name="Прямоугольник 49115">
          <a:extLst>
            <a:ext uri="{FF2B5EF4-FFF2-40B4-BE49-F238E27FC236}">
              <a16:creationId xmlns:a16="http://schemas.microsoft.com/office/drawing/2014/main" id="{A4273976-A81B-D15E-7A91-169728582C20}"/>
            </a:ext>
          </a:extLst>
        </xdr:cNvPr>
        <xdr:cNvSpPr/>
      </xdr:nvSpPr>
      <xdr:spPr>
        <a:xfrm>
          <a:off x="508000" y="11315700"/>
          <a:ext cx="203200" cy="177800"/>
        </a:xfrm>
        <a:prstGeom prst="rect">
          <a:avLst/>
        </a:prstGeom>
        <a:solidFill>
          <a:srgbClr val="F7B6D2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70</xdr:row>
      <xdr:rowOff>38894</xdr:rowOff>
    </xdr:from>
    <xdr:to>
      <xdr:col>10</xdr:col>
      <xdr:colOff>557212</xdr:colOff>
      <xdr:row>71</xdr:row>
      <xdr:rowOff>106759</xdr:rowOff>
    </xdr:to>
    <xdr:sp macro="" textlink="">
      <xdr:nvSpPr>
        <xdr:cNvPr id="49117" name="TextBox 49116">
          <a:extLst>
            <a:ext uri="{FF2B5EF4-FFF2-40B4-BE49-F238E27FC236}">
              <a16:creationId xmlns:a16="http://schemas.microsoft.com/office/drawing/2014/main" id="{8322E214-85B9-EBE8-1DF5-814FD7B943C0}"/>
            </a:ext>
          </a:extLst>
        </xdr:cNvPr>
        <xdr:cNvSpPr txBox="1"/>
      </xdr:nvSpPr>
      <xdr:spPr>
        <a:xfrm>
          <a:off x="787400" y="112903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0">
              <a:solidFill>
                <a:srgbClr val="1E1E1E"/>
              </a:solidFill>
            </a:rPr>
            <a:t>ЛПА-310-100   (13 мм </a:t>
          </a:r>
          <a:r>
            <a:rPr lang="en-US" sz="850" b="0">
              <a:solidFill>
                <a:srgbClr val="1E1E1E"/>
              </a:solidFill>
            </a:rPr>
            <a:t>x 50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71</xdr:row>
      <xdr:rowOff>144859</xdr:rowOff>
    </xdr:from>
    <xdr:to>
      <xdr:col>1</xdr:col>
      <xdr:colOff>103981</xdr:colOff>
      <xdr:row>73</xdr:row>
      <xdr:rowOff>1191</xdr:rowOff>
    </xdr:to>
    <xdr:sp macro="" textlink="">
      <xdr:nvSpPr>
        <xdr:cNvPr id="49118" name="Прямоугольник 49117">
          <a:extLst>
            <a:ext uri="{FF2B5EF4-FFF2-40B4-BE49-F238E27FC236}">
              <a16:creationId xmlns:a16="http://schemas.microsoft.com/office/drawing/2014/main" id="{706217B4-079E-9D51-440D-667BF4ADF91A}"/>
            </a:ext>
          </a:extLst>
        </xdr:cNvPr>
        <xdr:cNvSpPr/>
      </xdr:nvSpPr>
      <xdr:spPr>
        <a:xfrm>
          <a:off x="508000" y="11557000"/>
          <a:ext cx="203200" cy="177800"/>
        </a:xfrm>
        <a:prstGeom prst="rect">
          <a:avLst/>
        </a:prstGeom>
        <a:solidFill>
          <a:srgbClr val="C7C7C7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71</xdr:row>
      <xdr:rowOff>119459</xdr:rowOff>
    </xdr:from>
    <xdr:to>
      <xdr:col>10</xdr:col>
      <xdr:colOff>557212</xdr:colOff>
      <xdr:row>73</xdr:row>
      <xdr:rowOff>26591</xdr:rowOff>
    </xdr:to>
    <xdr:sp macro="" textlink="">
      <xdr:nvSpPr>
        <xdr:cNvPr id="49119" name="TextBox 49118">
          <a:extLst>
            <a:ext uri="{FF2B5EF4-FFF2-40B4-BE49-F238E27FC236}">
              <a16:creationId xmlns:a16="http://schemas.microsoft.com/office/drawing/2014/main" id="{EC6CD76B-965A-7089-623D-FF7297CA0F6C}"/>
            </a:ext>
          </a:extLst>
        </xdr:cNvPr>
        <xdr:cNvSpPr txBox="1"/>
      </xdr:nvSpPr>
      <xdr:spPr>
        <a:xfrm>
          <a:off x="787400" y="115316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0">
              <a:solidFill>
                <a:srgbClr val="1E1E1E"/>
              </a:solidFill>
            </a:rPr>
            <a:t>ЛПА-340-100   (13 мм </a:t>
          </a:r>
          <a:r>
            <a:rPr lang="en-US" sz="850" b="0">
              <a:solidFill>
                <a:srgbClr val="1E1E1E"/>
              </a:solidFill>
            </a:rPr>
            <a:t>x 60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73</xdr:row>
      <xdr:rowOff>64691</xdr:rowOff>
    </xdr:from>
    <xdr:to>
      <xdr:col>1</xdr:col>
      <xdr:colOff>103981</xdr:colOff>
      <xdr:row>74</xdr:row>
      <xdr:rowOff>81756</xdr:rowOff>
    </xdr:to>
    <xdr:sp macro="" textlink="">
      <xdr:nvSpPr>
        <xdr:cNvPr id="49120" name="Прямоугольник 49119">
          <a:extLst>
            <a:ext uri="{FF2B5EF4-FFF2-40B4-BE49-F238E27FC236}">
              <a16:creationId xmlns:a16="http://schemas.microsoft.com/office/drawing/2014/main" id="{F644ABFC-C6D2-4C3E-0D45-627B1AFEE4C2}"/>
            </a:ext>
          </a:extLst>
        </xdr:cNvPr>
        <xdr:cNvSpPr/>
      </xdr:nvSpPr>
      <xdr:spPr>
        <a:xfrm>
          <a:off x="508000" y="11798300"/>
          <a:ext cx="203200" cy="177800"/>
        </a:xfrm>
        <a:prstGeom prst="rect">
          <a:avLst/>
        </a:prstGeom>
        <a:solidFill>
          <a:srgbClr val="DBDB8D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73</xdr:row>
      <xdr:rowOff>39291</xdr:rowOff>
    </xdr:from>
    <xdr:to>
      <xdr:col>10</xdr:col>
      <xdr:colOff>557212</xdr:colOff>
      <xdr:row>74</xdr:row>
      <xdr:rowOff>107156</xdr:rowOff>
    </xdr:to>
    <xdr:sp macro="" textlink="">
      <xdr:nvSpPr>
        <xdr:cNvPr id="49121" name="TextBox 49120">
          <a:extLst>
            <a:ext uri="{FF2B5EF4-FFF2-40B4-BE49-F238E27FC236}">
              <a16:creationId xmlns:a16="http://schemas.microsoft.com/office/drawing/2014/main" id="{BB23905B-BE7F-C024-B1E2-DCF2336DB05B}"/>
            </a:ext>
          </a:extLst>
        </xdr:cNvPr>
        <xdr:cNvSpPr txBox="1"/>
      </xdr:nvSpPr>
      <xdr:spPr>
        <a:xfrm>
          <a:off x="787400" y="117729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0">
              <a:solidFill>
                <a:srgbClr val="1E1E1E"/>
              </a:solidFill>
            </a:rPr>
            <a:t>ЛПА-340-100   (13 мм </a:t>
          </a:r>
          <a:r>
            <a:rPr lang="en-US" sz="850" b="0">
              <a:solidFill>
                <a:srgbClr val="1E1E1E"/>
              </a:solidFill>
            </a:rPr>
            <a:t>x 18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74</xdr:row>
      <xdr:rowOff>145256</xdr:rowOff>
    </xdr:from>
    <xdr:to>
      <xdr:col>1</xdr:col>
      <xdr:colOff>103981</xdr:colOff>
      <xdr:row>76</xdr:row>
      <xdr:rowOff>1587</xdr:rowOff>
    </xdr:to>
    <xdr:sp macro="" textlink="">
      <xdr:nvSpPr>
        <xdr:cNvPr id="49122" name="Прямоугольник 49121">
          <a:extLst>
            <a:ext uri="{FF2B5EF4-FFF2-40B4-BE49-F238E27FC236}">
              <a16:creationId xmlns:a16="http://schemas.microsoft.com/office/drawing/2014/main" id="{8346E468-2E31-2F8E-F243-9E55437FFB16}"/>
            </a:ext>
          </a:extLst>
        </xdr:cNvPr>
        <xdr:cNvSpPr/>
      </xdr:nvSpPr>
      <xdr:spPr>
        <a:xfrm>
          <a:off x="508000" y="12039600"/>
          <a:ext cx="203200" cy="177800"/>
        </a:xfrm>
        <a:prstGeom prst="rect">
          <a:avLst/>
        </a:prstGeom>
        <a:solidFill>
          <a:srgbClr val="9EDAE5"/>
        </a:solidFill>
        <a:ln w="6350">
          <a:solidFill>
            <a:srgbClr val="3C3C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74</xdr:row>
      <xdr:rowOff>119856</xdr:rowOff>
    </xdr:from>
    <xdr:to>
      <xdr:col>10</xdr:col>
      <xdr:colOff>557212</xdr:colOff>
      <xdr:row>76</xdr:row>
      <xdr:rowOff>26987</xdr:rowOff>
    </xdr:to>
    <xdr:sp macro="" textlink="">
      <xdr:nvSpPr>
        <xdr:cNvPr id="49123" name="TextBox 49122">
          <a:extLst>
            <a:ext uri="{FF2B5EF4-FFF2-40B4-BE49-F238E27FC236}">
              <a16:creationId xmlns:a16="http://schemas.microsoft.com/office/drawing/2014/main" id="{A2FDF496-5D91-389C-C2B6-7168B3913707}"/>
            </a:ext>
          </a:extLst>
        </xdr:cNvPr>
        <xdr:cNvSpPr txBox="1"/>
      </xdr:nvSpPr>
      <xdr:spPr>
        <a:xfrm>
          <a:off x="787400" y="12014200"/>
          <a:ext cx="5842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0">
              <a:solidFill>
                <a:srgbClr val="1E1E1E"/>
              </a:solidFill>
            </a:rPr>
            <a:t>ЛПА-142-101   (23 мм </a:t>
          </a:r>
          <a:r>
            <a:rPr lang="en-US" sz="850" b="0">
              <a:solidFill>
                <a:srgbClr val="1E1E1E"/>
              </a:solidFill>
            </a:rPr>
            <a:t>x 23 </a:t>
          </a:r>
          <a:r>
            <a:rPr lang="ru-RU" sz="850" b="0">
              <a:solidFill>
                <a:srgbClr val="1E1E1E"/>
              </a:solidFill>
            </a:rPr>
            <a:t>шт)</a:t>
          </a:r>
        </a:p>
      </xdr:txBody>
    </xdr:sp>
    <xdr:clientData/>
  </xdr:twoCellAnchor>
  <xdr:twoCellAnchor>
    <xdr:from>
      <xdr:col>0</xdr:col>
      <xdr:colOff>508000</xdr:colOff>
      <xdr:row>77</xdr:row>
      <xdr:rowOff>5953</xdr:rowOff>
    </xdr:from>
    <xdr:to>
      <xdr:col>1</xdr:col>
      <xdr:colOff>103981</xdr:colOff>
      <xdr:row>78</xdr:row>
      <xdr:rowOff>23019</xdr:rowOff>
    </xdr:to>
    <xdr:sp macro="" textlink="">
      <xdr:nvSpPr>
        <xdr:cNvPr id="49124" name="Прямоугольник 49123">
          <a:extLst>
            <a:ext uri="{FF2B5EF4-FFF2-40B4-BE49-F238E27FC236}">
              <a16:creationId xmlns:a16="http://schemas.microsoft.com/office/drawing/2014/main" id="{414914D6-92DA-70D5-C0E9-4695567A0B80}"/>
            </a:ext>
          </a:extLst>
        </xdr:cNvPr>
        <xdr:cNvSpPr/>
      </xdr:nvSpPr>
      <xdr:spPr>
        <a:xfrm>
          <a:off x="508000" y="12382500"/>
          <a:ext cx="203200" cy="177800"/>
        </a:xfrm>
        <a:prstGeom prst="rect">
          <a:avLst/>
        </a:prstGeom>
        <a:solidFill>
          <a:srgbClr val="FFF4CC"/>
        </a:solidFill>
        <a:ln w="6350">
          <a:solidFill>
            <a:srgbClr val="DCB43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76</xdr:row>
      <xdr:rowOff>141287</xdr:rowOff>
    </xdr:from>
    <xdr:to>
      <xdr:col>11</xdr:col>
      <xdr:colOff>457994</xdr:colOff>
      <xdr:row>78</xdr:row>
      <xdr:rowOff>48419</xdr:rowOff>
    </xdr:to>
    <xdr:sp macro="" textlink="">
      <xdr:nvSpPr>
        <xdr:cNvPr id="49125" name="TextBox 49124">
          <a:extLst>
            <a:ext uri="{FF2B5EF4-FFF2-40B4-BE49-F238E27FC236}">
              <a16:creationId xmlns:a16="http://schemas.microsoft.com/office/drawing/2014/main" id="{BFAB6D9A-37A0-1D6A-C8BE-EBE328695460}"/>
            </a:ext>
          </a:extLst>
        </xdr:cNvPr>
        <xdr:cNvSpPr txBox="1"/>
      </xdr:nvSpPr>
      <xdr:spPr>
        <a:xfrm>
          <a:off x="787400" y="12357100"/>
          <a:ext cx="6350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1">
              <a:solidFill>
                <a:srgbClr val="785A00"/>
              </a:solidFill>
            </a:rPr>
            <a:t>Свободное место / резерв: 20%</a:t>
          </a:r>
        </a:p>
      </xdr:txBody>
    </xdr:sp>
    <xdr:clientData/>
  </xdr:twoCellAnchor>
  <xdr:twoCellAnchor>
    <xdr:from>
      <xdr:col>0</xdr:col>
      <xdr:colOff>508000</xdr:colOff>
      <xdr:row>78</xdr:row>
      <xdr:rowOff>124619</xdr:rowOff>
    </xdr:from>
    <xdr:to>
      <xdr:col>1</xdr:col>
      <xdr:colOff>103981</xdr:colOff>
      <xdr:row>79</xdr:row>
      <xdr:rowOff>141684</xdr:rowOff>
    </xdr:to>
    <xdr:sp macro="" textlink="">
      <xdr:nvSpPr>
        <xdr:cNvPr id="49126" name="Прямоугольник 49125">
          <a:extLst>
            <a:ext uri="{FF2B5EF4-FFF2-40B4-BE49-F238E27FC236}">
              <a16:creationId xmlns:a16="http://schemas.microsoft.com/office/drawing/2014/main" id="{3EFEC94A-5036-7A51-82D9-0B7CC673922C}"/>
            </a:ext>
          </a:extLst>
        </xdr:cNvPr>
        <xdr:cNvSpPr/>
      </xdr:nvSpPr>
      <xdr:spPr>
        <a:xfrm>
          <a:off x="508000" y="12661900"/>
          <a:ext cx="203200" cy="177800"/>
        </a:xfrm>
        <a:prstGeom prst="rect">
          <a:avLst/>
        </a:prstGeom>
        <a:solidFill>
          <a:srgbClr val="2E7D32"/>
        </a:solidFill>
        <a:ln w="6350">
          <a:solidFill>
            <a:srgbClr val="1B461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78</xdr:row>
      <xdr:rowOff>99219</xdr:rowOff>
    </xdr:from>
    <xdr:to>
      <xdr:col>13</xdr:col>
      <xdr:colOff>513556</xdr:colOff>
      <xdr:row>80</xdr:row>
      <xdr:rowOff>6350</xdr:rowOff>
    </xdr:to>
    <xdr:sp macro="" textlink="">
      <xdr:nvSpPr>
        <xdr:cNvPr id="49127" name="TextBox 49126">
          <a:extLst>
            <a:ext uri="{FF2B5EF4-FFF2-40B4-BE49-F238E27FC236}">
              <a16:creationId xmlns:a16="http://schemas.microsoft.com/office/drawing/2014/main" id="{65897A5F-A799-A43B-5673-2746663C5314}"/>
            </a:ext>
          </a:extLst>
        </xdr:cNvPr>
        <xdr:cNvSpPr txBox="1"/>
      </xdr:nvSpPr>
      <xdr:spPr>
        <a:xfrm>
          <a:off x="787400" y="12636500"/>
          <a:ext cx="7620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1">
              <a:solidFill>
                <a:srgbClr val="14461E"/>
              </a:solidFill>
            </a:rPr>
            <a:t>Контроллер </a:t>
          </a:r>
          <a:r>
            <a:rPr lang="en-US" sz="850" b="1">
              <a:solidFill>
                <a:srgbClr val="14461E"/>
              </a:solidFill>
            </a:rPr>
            <a:t>P410</a:t>
          </a:r>
          <a:endParaRPr lang="ru-RU" sz="850" b="1">
            <a:solidFill>
              <a:srgbClr val="14461E"/>
            </a:solidFill>
          </a:endParaRPr>
        </a:p>
      </xdr:txBody>
    </xdr:sp>
    <xdr:clientData/>
  </xdr:twoCellAnchor>
  <xdr:twoCellAnchor>
    <xdr:from>
      <xdr:col>0</xdr:col>
      <xdr:colOff>508000</xdr:colOff>
      <xdr:row>80</xdr:row>
      <xdr:rowOff>82550</xdr:rowOff>
    </xdr:from>
    <xdr:to>
      <xdr:col>1</xdr:col>
      <xdr:colOff>103981</xdr:colOff>
      <xdr:row>81</xdr:row>
      <xdr:rowOff>99616</xdr:rowOff>
    </xdr:to>
    <xdr:sp macro="" textlink="">
      <xdr:nvSpPr>
        <xdr:cNvPr id="49128" name="Прямоугольник 49127">
          <a:extLst>
            <a:ext uri="{FF2B5EF4-FFF2-40B4-BE49-F238E27FC236}">
              <a16:creationId xmlns:a16="http://schemas.microsoft.com/office/drawing/2014/main" id="{5548324C-59F9-84F3-C9AA-9D973FE09ECC}"/>
            </a:ext>
          </a:extLst>
        </xdr:cNvPr>
        <xdr:cNvSpPr/>
      </xdr:nvSpPr>
      <xdr:spPr>
        <a:xfrm>
          <a:off x="508000" y="12941300"/>
          <a:ext cx="203200" cy="177800"/>
        </a:xfrm>
        <a:prstGeom prst="rect">
          <a:avLst/>
        </a:prstGeom>
        <a:solidFill>
          <a:srgbClr val="1565C0"/>
        </a:solidFill>
        <a:ln w="6350">
          <a:solidFill>
            <a:srgbClr val="0D3C7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180181</xdr:colOff>
      <xdr:row>80</xdr:row>
      <xdr:rowOff>57150</xdr:rowOff>
    </xdr:from>
    <xdr:to>
      <xdr:col>13</xdr:col>
      <xdr:colOff>513556</xdr:colOff>
      <xdr:row>81</xdr:row>
      <xdr:rowOff>125016</xdr:rowOff>
    </xdr:to>
    <xdr:sp macro="" textlink="">
      <xdr:nvSpPr>
        <xdr:cNvPr id="49129" name="TextBox 49128">
          <a:extLst>
            <a:ext uri="{FF2B5EF4-FFF2-40B4-BE49-F238E27FC236}">
              <a16:creationId xmlns:a16="http://schemas.microsoft.com/office/drawing/2014/main" id="{4E23C3A5-76AB-2B3F-DF1B-251BB5EAB002}"/>
            </a:ext>
          </a:extLst>
        </xdr:cNvPr>
        <xdr:cNvSpPr txBox="1"/>
      </xdr:nvSpPr>
      <xdr:spPr>
        <a:xfrm>
          <a:off x="787400" y="12915900"/>
          <a:ext cx="7620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2700" tIns="0" rIns="12700" bIns="0" rtlCol="0" anchor="ctr"/>
        <a:lstStyle/>
        <a:p>
          <a:pPr algn="l"/>
          <a:r>
            <a:rPr lang="ru-RU" sz="850" b="1">
              <a:solidFill>
                <a:srgbClr val="0F4682"/>
              </a:solidFill>
            </a:rPr>
            <a:t>Коммутаторы и БП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B009-570D-4AF3-9AE9-047F0D562F6D}">
  <sheetPr codeName="Лист0"/>
  <dimension ref="B4:C5"/>
  <sheetViews>
    <sheetView workbookViewId="0"/>
  </sheetViews>
  <sheetFormatPr defaultRowHeight="12.75"/>
  <cols>
    <col min="2" max="2" width="18.85546875" customWidth="1"/>
    <col min="3" max="3" width="23.5703125" customWidth="1"/>
  </cols>
  <sheetData>
    <row r="4" spans="2:3">
      <c r="B4" s="11" t="s">
        <v>25</v>
      </c>
      <c r="C4" s="13"/>
    </row>
    <row r="5" spans="2:3">
      <c r="B5" s="11" t="s">
        <v>26</v>
      </c>
      <c r="C5" s="12" t="s">
        <v>40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581A-7114-45CB-8162-2735328AD4AF}">
  <sheetPr codeName="Лист100"/>
  <dimension ref="B1:O380"/>
  <sheetViews>
    <sheetView tabSelected="1" topLeftCell="A2" zoomScale="115" zoomScaleNormal="115" workbookViewId="0">
      <selection activeCell="H24" sqref="H24"/>
    </sheetView>
  </sheetViews>
  <sheetFormatPr defaultRowHeight="12.75"/>
  <cols>
    <col min="1" max="1" width="9.140625" style="20"/>
    <col min="2" max="2" width="23.5703125" style="20" customWidth="1"/>
    <col min="3" max="3" width="9.140625" style="20"/>
    <col min="4" max="4" width="12.5703125" style="20" customWidth="1"/>
    <col min="5" max="5" width="28.7109375" style="64" customWidth="1"/>
    <col min="6" max="6" width="13.140625" style="65" customWidth="1"/>
    <col min="7" max="7" width="71.5703125" style="101" customWidth="1"/>
    <col min="8" max="8" width="14.140625" style="169" customWidth="1"/>
    <col min="9" max="9" width="9.140625" style="20"/>
    <col min="10" max="10" width="28.42578125" style="64" customWidth="1"/>
    <col min="11" max="11" width="9.5703125" style="106" customWidth="1"/>
    <col min="12" max="12" width="88.140625" style="64" customWidth="1"/>
    <col min="13" max="16384" width="9.140625" style="20"/>
  </cols>
  <sheetData>
    <row r="1" spans="2:15">
      <c r="E1" s="68" t="s">
        <v>279</v>
      </c>
      <c r="F1" s="166" t="s">
        <v>247</v>
      </c>
      <c r="G1" s="107" t="s">
        <v>137</v>
      </c>
      <c r="H1" s="143" t="s">
        <v>246</v>
      </c>
      <c r="N1" s="22"/>
      <c r="O1" s="22"/>
    </row>
    <row r="2" spans="2:15" ht="28.5">
      <c r="B2" s="19" t="s">
        <v>27</v>
      </c>
      <c r="D2" s="160" t="s">
        <v>30</v>
      </c>
      <c r="E2" s="133" t="s">
        <v>200</v>
      </c>
      <c r="F2" s="134">
        <v>32</v>
      </c>
      <c r="G2" s="135" t="s">
        <v>119</v>
      </c>
      <c r="H2" s="167">
        <v>164</v>
      </c>
      <c r="N2" s="22"/>
      <c r="O2" s="22"/>
    </row>
    <row r="3" spans="2:15" ht="28.5">
      <c r="B3" s="21" t="s">
        <v>28</v>
      </c>
      <c r="D3" s="160" t="s">
        <v>30</v>
      </c>
      <c r="E3" s="133" t="s">
        <v>204</v>
      </c>
      <c r="F3" s="134">
        <v>16</v>
      </c>
      <c r="G3" s="135" t="s">
        <v>119</v>
      </c>
      <c r="H3" s="167">
        <v>164</v>
      </c>
      <c r="N3" s="22"/>
      <c r="O3" s="22"/>
    </row>
    <row r="4" spans="2:15" ht="28.5">
      <c r="B4" s="21" t="s">
        <v>29</v>
      </c>
      <c r="D4" s="160" t="s">
        <v>30</v>
      </c>
      <c r="E4" s="133" t="s">
        <v>202</v>
      </c>
      <c r="F4" s="134">
        <v>8</v>
      </c>
      <c r="G4" s="135" t="s">
        <v>119</v>
      </c>
      <c r="H4" s="167">
        <v>164</v>
      </c>
      <c r="N4" s="22"/>
      <c r="O4" s="22"/>
    </row>
    <row r="5" spans="2:15" ht="28.5">
      <c r="D5" s="160" t="s">
        <v>30</v>
      </c>
      <c r="E5" s="90" t="s">
        <v>195</v>
      </c>
      <c r="F5" s="67">
        <v>16</v>
      </c>
      <c r="G5" s="104" t="s">
        <v>139</v>
      </c>
      <c r="H5" s="167">
        <v>157</v>
      </c>
      <c r="N5" s="22"/>
      <c r="O5" s="22"/>
    </row>
    <row r="6" spans="2:15" ht="28.5">
      <c r="D6" s="160" t="s">
        <v>30</v>
      </c>
      <c r="E6" s="90" t="s">
        <v>196</v>
      </c>
      <c r="F6" s="67">
        <v>8</v>
      </c>
      <c r="G6" s="104" t="s">
        <v>140</v>
      </c>
      <c r="H6" s="167">
        <v>157</v>
      </c>
      <c r="N6" s="22"/>
      <c r="O6" s="22"/>
    </row>
    <row r="7" spans="2:15" ht="28.5">
      <c r="D7" s="160" t="s">
        <v>30</v>
      </c>
      <c r="E7" s="90" t="s">
        <v>235</v>
      </c>
      <c r="F7" s="67">
        <v>12</v>
      </c>
      <c r="G7" s="104" t="s">
        <v>236</v>
      </c>
      <c r="H7" s="167">
        <v>164</v>
      </c>
      <c r="N7" s="22"/>
      <c r="O7" s="22"/>
    </row>
    <row r="8" spans="2:15" ht="14.25">
      <c r="D8" s="160" t="s">
        <v>30</v>
      </c>
      <c r="E8" s="129" t="s">
        <v>195</v>
      </c>
      <c r="F8" s="130">
        <v>8</v>
      </c>
      <c r="G8" s="131" t="s">
        <v>142</v>
      </c>
      <c r="H8" s="167">
        <v>157</v>
      </c>
      <c r="N8" s="22"/>
      <c r="O8" s="22"/>
    </row>
    <row r="9" spans="2:15" ht="14.25">
      <c r="D9" s="160" t="s">
        <v>30</v>
      </c>
      <c r="E9" s="129" t="s">
        <v>196</v>
      </c>
      <c r="F9" s="130">
        <v>8</v>
      </c>
      <c r="G9" s="131" t="s">
        <v>143</v>
      </c>
      <c r="H9" s="167">
        <v>157</v>
      </c>
      <c r="N9" s="22"/>
      <c r="O9" s="22"/>
    </row>
    <row r="10" spans="2:15" ht="28.5">
      <c r="D10" s="160" t="s">
        <v>30</v>
      </c>
      <c r="E10" s="129" t="s">
        <v>235</v>
      </c>
      <c r="F10" s="130">
        <v>0</v>
      </c>
      <c r="G10" s="131" t="s">
        <v>236</v>
      </c>
      <c r="H10" s="167">
        <v>164</v>
      </c>
      <c r="N10" s="22"/>
      <c r="O10" s="22"/>
    </row>
    <row r="11" spans="2:15" ht="28.5">
      <c r="D11" s="160" t="s">
        <v>30</v>
      </c>
      <c r="E11" s="133" t="s">
        <v>201</v>
      </c>
      <c r="F11" s="134">
        <v>32</v>
      </c>
      <c r="G11" s="135" t="s">
        <v>119</v>
      </c>
      <c r="H11" s="167">
        <v>164</v>
      </c>
      <c r="N11" s="22"/>
      <c r="O11" s="22"/>
    </row>
    <row r="12" spans="2:15" ht="28.5">
      <c r="D12" s="160" t="s">
        <v>30</v>
      </c>
      <c r="E12" s="133" t="s">
        <v>205</v>
      </c>
      <c r="F12" s="134">
        <v>16</v>
      </c>
      <c r="G12" s="135" t="s">
        <v>119</v>
      </c>
      <c r="H12" s="167">
        <v>164</v>
      </c>
      <c r="N12" s="22"/>
      <c r="O12" s="22"/>
    </row>
    <row r="13" spans="2:15" ht="28.5">
      <c r="D13" s="160" t="s">
        <v>30</v>
      </c>
      <c r="E13" s="133" t="s">
        <v>203</v>
      </c>
      <c r="F13" s="134">
        <v>8</v>
      </c>
      <c r="G13" s="135" t="s">
        <v>119</v>
      </c>
      <c r="H13" s="167">
        <v>164</v>
      </c>
      <c r="N13" s="22"/>
      <c r="O13" s="22"/>
    </row>
    <row r="14" spans="2:15" ht="28.5">
      <c r="D14" s="160" t="s">
        <v>30</v>
      </c>
      <c r="E14" s="90" t="s">
        <v>197</v>
      </c>
      <c r="F14" s="67">
        <v>16</v>
      </c>
      <c r="G14" s="104" t="s">
        <v>139</v>
      </c>
      <c r="H14" s="167">
        <v>157</v>
      </c>
      <c r="N14" s="22"/>
      <c r="O14" s="22"/>
    </row>
    <row r="15" spans="2:15" ht="28.5">
      <c r="D15" s="160" t="s">
        <v>30</v>
      </c>
      <c r="E15" s="90" t="s">
        <v>198</v>
      </c>
      <c r="F15" s="67">
        <v>8</v>
      </c>
      <c r="G15" s="104" t="s">
        <v>140</v>
      </c>
      <c r="H15" s="167">
        <v>157</v>
      </c>
      <c r="N15" s="22"/>
      <c r="O15" s="22"/>
    </row>
    <row r="16" spans="2:15" ht="14.25">
      <c r="D16" s="160" t="s">
        <v>30</v>
      </c>
      <c r="E16" s="90" t="s">
        <v>237</v>
      </c>
      <c r="F16" s="67">
        <v>12</v>
      </c>
      <c r="G16" s="104" t="s">
        <v>240</v>
      </c>
      <c r="H16" s="167">
        <v>164</v>
      </c>
      <c r="N16" s="22"/>
      <c r="O16" s="22"/>
    </row>
    <row r="17" spans="4:15" ht="14.25">
      <c r="D17" s="160" t="s">
        <v>30</v>
      </c>
      <c r="E17" s="129" t="s">
        <v>197</v>
      </c>
      <c r="F17" s="130">
        <v>8</v>
      </c>
      <c r="G17" s="131" t="s">
        <v>142</v>
      </c>
      <c r="H17" s="167">
        <v>157</v>
      </c>
      <c r="N17" s="22"/>
      <c r="O17" s="22"/>
    </row>
    <row r="18" spans="4:15" ht="16.5" customHeight="1">
      <c r="D18" s="160" t="s">
        <v>30</v>
      </c>
      <c r="E18" s="129" t="s">
        <v>198</v>
      </c>
      <c r="F18" s="130">
        <v>8</v>
      </c>
      <c r="G18" s="131" t="s">
        <v>143</v>
      </c>
      <c r="H18" s="167">
        <v>157</v>
      </c>
      <c r="N18" s="22"/>
      <c r="O18" s="22"/>
    </row>
    <row r="19" spans="4:15" ht="14.25">
      <c r="D19" s="160" t="s">
        <v>30</v>
      </c>
      <c r="E19" s="129" t="s">
        <v>237</v>
      </c>
      <c r="F19" s="130">
        <v>0</v>
      </c>
      <c r="G19" s="131" t="s">
        <v>240</v>
      </c>
      <c r="H19" s="167">
        <v>164</v>
      </c>
      <c r="N19" s="22"/>
      <c r="O19" s="22"/>
    </row>
    <row r="20" spans="4:15" ht="14.25">
      <c r="D20" s="160" t="s">
        <v>34</v>
      </c>
      <c r="E20" s="66" t="s">
        <v>197</v>
      </c>
      <c r="F20" s="67">
        <v>2</v>
      </c>
      <c r="G20" s="104" t="s">
        <v>118</v>
      </c>
      <c r="H20" s="167">
        <v>157</v>
      </c>
      <c r="N20" s="22"/>
      <c r="O20" s="22"/>
    </row>
    <row r="21" spans="4:15" ht="25.5" customHeight="1">
      <c r="D21" s="160" t="s">
        <v>34</v>
      </c>
      <c r="E21" s="90" t="s">
        <v>198</v>
      </c>
      <c r="F21" s="67">
        <v>2</v>
      </c>
      <c r="G21" s="104" t="s">
        <v>118</v>
      </c>
      <c r="H21" s="167">
        <v>157</v>
      </c>
      <c r="N21" s="22"/>
      <c r="O21" s="22"/>
    </row>
    <row r="22" spans="4:15" ht="14.25">
      <c r="D22" s="160" t="s">
        <v>34</v>
      </c>
      <c r="E22" s="90" t="s">
        <v>237</v>
      </c>
      <c r="F22" s="67">
        <v>6</v>
      </c>
      <c r="G22" s="98"/>
      <c r="H22" s="167">
        <v>164</v>
      </c>
      <c r="N22" s="22"/>
      <c r="O22" s="22"/>
    </row>
    <row r="23" spans="4:15" ht="14.25">
      <c r="D23" s="160" t="s">
        <v>34</v>
      </c>
      <c r="E23" s="90" t="s">
        <v>199</v>
      </c>
      <c r="F23" s="67">
        <v>2</v>
      </c>
      <c r="G23" s="104" t="s">
        <v>118</v>
      </c>
      <c r="H23" s="167">
        <v>157</v>
      </c>
      <c r="N23" s="22"/>
      <c r="O23" s="22"/>
    </row>
    <row r="24" spans="4:15" ht="14.25">
      <c r="D24" s="160" t="s">
        <v>34</v>
      </c>
      <c r="E24" s="90" t="s">
        <v>238</v>
      </c>
      <c r="F24" s="67">
        <v>6</v>
      </c>
      <c r="G24" s="95"/>
      <c r="H24" s="167">
        <v>164</v>
      </c>
      <c r="N24" s="22"/>
      <c r="O24" s="22"/>
    </row>
    <row r="25" spans="4:15" ht="14.25">
      <c r="D25" s="160" t="s">
        <v>34</v>
      </c>
      <c r="E25" s="133" t="s">
        <v>201</v>
      </c>
      <c r="F25" s="67">
        <v>2</v>
      </c>
      <c r="G25" s="98"/>
      <c r="H25" s="167">
        <v>164</v>
      </c>
      <c r="N25" s="22"/>
      <c r="O25" s="22"/>
    </row>
    <row r="26" spans="4:15" ht="14.25">
      <c r="D26" s="160" t="s">
        <v>34</v>
      </c>
      <c r="E26" s="133" t="s">
        <v>205</v>
      </c>
      <c r="F26" s="67">
        <v>2</v>
      </c>
      <c r="G26" s="98"/>
      <c r="H26" s="167">
        <v>164</v>
      </c>
      <c r="N26" s="22"/>
      <c r="O26" s="22"/>
    </row>
    <row r="27" spans="4:15" ht="14.25">
      <c r="D27" s="160" t="s">
        <v>34</v>
      </c>
      <c r="E27" s="133" t="s">
        <v>203</v>
      </c>
      <c r="F27" s="67">
        <v>2</v>
      </c>
      <c r="G27" s="95"/>
      <c r="H27" s="167">
        <v>164</v>
      </c>
      <c r="N27" s="22"/>
      <c r="O27" s="22"/>
    </row>
    <row r="28" spans="4:15" ht="14.25">
      <c r="D28" s="160" t="s">
        <v>34</v>
      </c>
      <c r="E28" s="90" t="s">
        <v>237</v>
      </c>
      <c r="F28" s="67">
        <v>6</v>
      </c>
      <c r="G28" s="98"/>
      <c r="H28" s="167">
        <v>164</v>
      </c>
      <c r="N28" s="22"/>
      <c r="O28" s="22"/>
    </row>
    <row r="29" spans="4:15" ht="38.25" hidden="1">
      <c r="D29" s="160" t="s">
        <v>31</v>
      </c>
      <c r="E29" s="75" t="s">
        <v>193</v>
      </c>
      <c r="F29" s="67">
        <v>8</v>
      </c>
      <c r="G29" s="92" t="s">
        <v>116</v>
      </c>
      <c r="H29" s="167">
        <v>157</v>
      </c>
      <c r="N29" s="22"/>
      <c r="O29" s="22"/>
    </row>
    <row r="30" spans="4:15" ht="38.25" hidden="1">
      <c r="D30" s="139"/>
      <c r="E30" s="66" t="s">
        <v>194</v>
      </c>
      <c r="F30" s="67">
        <v>4</v>
      </c>
      <c r="G30" s="92" t="s">
        <v>117</v>
      </c>
      <c r="H30" s="167">
        <v>157</v>
      </c>
      <c r="N30" s="22"/>
      <c r="O30" s="22"/>
    </row>
    <row r="31" spans="4:15" hidden="1">
      <c r="D31" s="139"/>
      <c r="E31" s="66"/>
      <c r="F31" s="67"/>
      <c r="G31" s="95"/>
      <c r="H31" s="168"/>
    </row>
    <row r="32" spans="4:15" ht="14.25" hidden="1">
      <c r="D32" s="139"/>
      <c r="E32" s="76"/>
      <c r="F32" s="67"/>
      <c r="G32" s="95"/>
      <c r="H32" s="168"/>
    </row>
    <row r="33" spans="4:8" hidden="1">
      <c r="D33" s="139"/>
      <c r="E33" s="66"/>
      <c r="F33" s="67"/>
      <c r="G33" s="95"/>
      <c r="H33" s="168"/>
    </row>
    <row r="34" spans="4:8" hidden="1">
      <c r="D34" s="139"/>
      <c r="E34" s="66"/>
      <c r="F34" s="67"/>
      <c r="G34" s="95"/>
      <c r="H34" s="168"/>
    </row>
    <row r="35" spans="4:8" hidden="1">
      <c r="D35" s="160" t="s">
        <v>32</v>
      </c>
      <c r="E35" s="66"/>
      <c r="F35" s="67"/>
      <c r="G35" s="95"/>
      <c r="H35" s="168"/>
    </row>
    <row r="36" spans="4:8" ht="33.75" hidden="1" customHeight="1">
      <c r="D36" s="139"/>
      <c r="E36" s="66"/>
      <c r="F36" s="67"/>
      <c r="G36" s="95"/>
      <c r="H36" s="168"/>
    </row>
    <row r="37" spans="4:8" ht="14.25" hidden="1">
      <c r="D37" s="139"/>
      <c r="E37" s="76"/>
      <c r="F37" s="67"/>
      <c r="G37" s="95"/>
      <c r="H37" s="168"/>
    </row>
    <row r="38" spans="4:8" hidden="1">
      <c r="D38" s="139"/>
      <c r="E38" s="66"/>
      <c r="F38" s="67"/>
      <c r="G38" s="95"/>
      <c r="H38" s="168"/>
    </row>
    <row r="39" spans="4:8" hidden="1">
      <c r="D39" s="160" t="s">
        <v>33</v>
      </c>
      <c r="E39" s="66" t="s">
        <v>124</v>
      </c>
      <c r="F39" s="67">
        <v>8</v>
      </c>
      <c r="G39" s="102" t="s">
        <v>125</v>
      </c>
      <c r="H39" s="168">
        <v>110</v>
      </c>
    </row>
    <row r="40" spans="4:8" hidden="1">
      <c r="D40" s="139"/>
      <c r="E40" s="66" t="s">
        <v>126</v>
      </c>
      <c r="F40" s="67">
        <v>8</v>
      </c>
      <c r="G40" s="102" t="s">
        <v>127</v>
      </c>
      <c r="H40" s="168">
        <v>110</v>
      </c>
    </row>
    <row r="41" spans="4:8" hidden="1">
      <c r="D41" s="139"/>
      <c r="E41" s="66" t="s">
        <v>128</v>
      </c>
      <c r="F41" s="67">
        <v>8</v>
      </c>
      <c r="G41" s="93" t="s">
        <v>129</v>
      </c>
      <c r="H41" s="168">
        <v>110</v>
      </c>
    </row>
    <row r="42" spans="4:8" hidden="1">
      <c r="D42" s="139"/>
      <c r="E42" s="69" t="s">
        <v>130</v>
      </c>
      <c r="F42" s="67">
        <v>8</v>
      </c>
      <c r="G42" s="93" t="s">
        <v>131</v>
      </c>
      <c r="H42" s="168">
        <v>110</v>
      </c>
    </row>
    <row r="43" spans="4:8" hidden="1">
      <c r="D43" s="139"/>
      <c r="E43" s="66" t="s">
        <v>135</v>
      </c>
      <c r="F43" s="67">
        <v>8</v>
      </c>
      <c r="G43" s="93"/>
      <c r="H43" s="168">
        <v>100</v>
      </c>
    </row>
    <row r="44" spans="4:8" ht="42" hidden="1" customHeight="1">
      <c r="D44" s="139"/>
      <c r="E44" s="66" t="s">
        <v>136</v>
      </c>
      <c r="F44" s="67">
        <v>8</v>
      </c>
      <c r="G44" s="93"/>
      <c r="H44" s="168">
        <v>100</v>
      </c>
    </row>
    <row r="45" spans="4:8" hidden="1">
      <c r="D45" s="139"/>
      <c r="E45" s="66"/>
      <c r="F45" s="67"/>
      <c r="G45" s="93"/>
      <c r="H45" s="168"/>
    </row>
    <row r="46" spans="4:8" hidden="1">
      <c r="D46" s="139"/>
      <c r="E46" s="66"/>
      <c r="F46" s="67"/>
      <c r="G46" s="93"/>
      <c r="H46" s="168"/>
    </row>
    <row r="47" spans="4:8" hidden="1">
      <c r="D47" s="139"/>
      <c r="E47" s="66"/>
      <c r="F47" s="67"/>
      <c r="G47" s="93"/>
      <c r="H47" s="168"/>
    </row>
    <row r="48" spans="4:8" hidden="1">
      <c r="D48" s="139"/>
      <c r="E48" s="66"/>
      <c r="F48" s="67"/>
      <c r="G48" s="93"/>
      <c r="H48" s="168"/>
    </row>
    <row r="49" spans="4:8" hidden="1">
      <c r="D49" s="138" t="s">
        <v>35</v>
      </c>
      <c r="E49" s="66"/>
      <c r="F49" s="67"/>
      <c r="G49" s="93"/>
      <c r="H49" s="168"/>
    </row>
    <row r="50" spans="4:8" hidden="1">
      <c r="D50" s="139"/>
      <c r="E50" s="66"/>
      <c r="F50" s="70"/>
      <c r="G50" s="93"/>
      <c r="H50" s="168"/>
    </row>
    <row r="51" spans="4:8" hidden="1">
      <c r="D51" s="138" t="s">
        <v>38</v>
      </c>
      <c r="E51" s="66" t="s">
        <v>110</v>
      </c>
      <c r="F51" s="70"/>
      <c r="G51" s="99" t="s">
        <v>113</v>
      </c>
      <c r="H51" s="168"/>
    </row>
    <row r="52" spans="4:8" hidden="1">
      <c r="D52" s="139"/>
      <c r="E52" s="66"/>
      <c r="F52" s="70"/>
      <c r="G52" s="107"/>
      <c r="H52" s="168"/>
    </row>
    <row r="53" spans="4:8" hidden="1">
      <c r="D53" s="139"/>
      <c r="E53" s="66"/>
      <c r="F53" s="70"/>
      <c r="G53" s="107"/>
      <c r="H53" s="168"/>
    </row>
    <row r="54" spans="4:8" hidden="1">
      <c r="D54" s="139"/>
      <c r="E54" s="66"/>
      <c r="F54" s="70"/>
      <c r="G54" s="99"/>
      <c r="H54" s="168"/>
    </row>
    <row r="55" spans="4:8" hidden="1">
      <c r="D55" s="161" t="s">
        <v>46</v>
      </c>
      <c r="E55" s="71"/>
      <c r="F55" s="70"/>
      <c r="G55" s="99"/>
      <c r="H55" s="168"/>
    </row>
    <row r="56" spans="4:8" hidden="1">
      <c r="D56" s="138" t="s">
        <v>69</v>
      </c>
      <c r="E56" s="68" t="s">
        <v>68</v>
      </c>
      <c r="F56" s="70">
        <v>24</v>
      </c>
      <c r="G56" s="93"/>
      <c r="H56" s="168"/>
    </row>
    <row r="57" spans="4:8" hidden="1">
      <c r="D57" s="161"/>
      <c r="E57" s="69" t="s">
        <v>268</v>
      </c>
      <c r="F57" s="70">
        <v>8</v>
      </c>
      <c r="G57" s="93"/>
      <c r="H57" s="168"/>
    </row>
    <row r="58" spans="4:8" hidden="1">
      <c r="D58" s="161"/>
      <c r="E58" s="69" t="s">
        <v>276</v>
      </c>
      <c r="F58" s="70">
        <v>8</v>
      </c>
      <c r="G58" s="93"/>
      <c r="H58" s="168"/>
    </row>
    <row r="59" spans="4:8" hidden="1">
      <c r="D59" s="161"/>
      <c r="E59" s="69" t="s">
        <v>274</v>
      </c>
      <c r="F59" s="70">
        <v>8</v>
      </c>
      <c r="G59" s="93"/>
      <c r="H59" s="168"/>
    </row>
    <row r="60" spans="4:8" hidden="1">
      <c r="D60" s="138" t="s">
        <v>277</v>
      </c>
      <c r="E60" s="69" t="s">
        <v>270</v>
      </c>
      <c r="F60" s="70">
        <v>1</v>
      </c>
      <c r="G60" s="93"/>
      <c r="H60" s="168"/>
    </row>
    <row r="61" spans="4:8" hidden="1">
      <c r="D61" s="161"/>
      <c r="E61" s="69"/>
      <c r="F61" s="70"/>
      <c r="G61" s="93"/>
      <c r="H61" s="168"/>
    </row>
    <row r="62" spans="4:8" hidden="1">
      <c r="D62" s="161"/>
      <c r="E62" s="68"/>
      <c r="F62" s="70"/>
      <c r="G62" s="93"/>
      <c r="H62" s="168"/>
    </row>
    <row r="63" spans="4:8" ht="22.5" hidden="1">
      <c r="D63" s="138" t="s">
        <v>269</v>
      </c>
      <c r="E63" s="69" t="s">
        <v>271</v>
      </c>
      <c r="F63" s="70">
        <v>1</v>
      </c>
      <c r="G63" s="93"/>
      <c r="H63" s="168"/>
    </row>
    <row r="64" spans="4:8" hidden="1">
      <c r="D64" s="161"/>
      <c r="E64" s="69"/>
      <c r="F64" s="70"/>
      <c r="G64" s="93"/>
      <c r="H64" s="168"/>
    </row>
    <row r="65" spans="2:8" hidden="1">
      <c r="D65" s="161"/>
      <c r="E65" s="68"/>
      <c r="F65" s="70"/>
      <c r="G65" s="93"/>
      <c r="H65" s="168"/>
    </row>
    <row r="66" spans="2:8" hidden="1">
      <c r="B66" s="143"/>
      <c r="C66" s="143"/>
      <c r="E66" s="68"/>
      <c r="F66" s="70"/>
      <c r="G66" s="93"/>
      <c r="H66" s="168"/>
    </row>
    <row r="67" spans="2:8" hidden="1">
      <c r="E67" s="68"/>
      <c r="F67" s="70"/>
      <c r="G67" s="93"/>
      <c r="H67" s="168"/>
    </row>
    <row r="68" spans="2:8" ht="25.5" hidden="1">
      <c r="D68" s="138"/>
      <c r="E68" s="68" t="s">
        <v>168</v>
      </c>
      <c r="F68" s="100">
        <v>320000</v>
      </c>
      <c r="G68" s="88" t="s">
        <v>173</v>
      </c>
      <c r="H68" s="168"/>
    </row>
    <row r="69" spans="2:8" ht="25.5" hidden="1">
      <c r="D69" s="139"/>
      <c r="E69" s="68" t="s">
        <v>169</v>
      </c>
      <c r="F69" s="100">
        <v>40000</v>
      </c>
      <c r="G69" s="88" t="s">
        <v>174</v>
      </c>
      <c r="H69" s="168"/>
    </row>
    <row r="70" spans="2:8" ht="25.5" hidden="1">
      <c r="D70" s="139"/>
      <c r="E70" s="103" t="s">
        <v>170</v>
      </c>
      <c r="F70" s="100">
        <v>10000</v>
      </c>
      <c r="G70" s="88" t="s">
        <v>175</v>
      </c>
      <c r="H70" s="168"/>
    </row>
    <row r="71" spans="2:8" ht="25.5" hidden="1">
      <c r="D71" s="139"/>
      <c r="E71" s="103" t="s">
        <v>171</v>
      </c>
      <c r="F71" s="100">
        <v>2500</v>
      </c>
      <c r="G71" s="88" t="s">
        <v>176</v>
      </c>
      <c r="H71" s="168"/>
    </row>
    <row r="72" spans="2:8" ht="25.5" hidden="1">
      <c r="D72" s="139"/>
      <c r="E72" s="103" t="s">
        <v>172</v>
      </c>
      <c r="F72" s="100">
        <v>640</v>
      </c>
      <c r="G72" s="88" t="s">
        <v>177</v>
      </c>
      <c r="H72" s="168"/>
    </row>
    <row r="73" spans="2:8" hidden="1">
      <c r="D73" s="138" t="s">
        <v>4</v>
      </c>
      <c r="E73" s="74" t="s">
        <v>104</v>
      </c>
      <c r="F73" s="100">
        <v>96</v>
      </c>
      <c r="G73" s="69" t="s">
        <v>105</v>
      </c>
      <c r="H73" s="168"/>
    </row>
    <row r="74" spans="2:8" hidden="1">
      <c r="D74" s="139"/>
      <c r="E74" s="96" t="s">
        <v>207</v>
      </c>
      <c r="F74" s="100">
        <v>120</v>
      </c>
      <c r="G74" s="69" t="s">
        <v>105</v>
      </c>
      <c r="H74" s="168"/>
    </row>
    <row r="75" spans="2:8" hidden="1">
      <c r="D75" s="139"/>
      <c r="E75" s="96" t="s">
        <v>208</v>
      </c>
      <c r="F75" s="100">
        <v>156</v>
      </c>
      <c r="G75" s="69" t="s">
        <v>105</v>
      </c>
      <c r="H75" s="168"/>
    </row>
    <row r="76" spans="2:8" hidden="1">
      <c r="D76" s="139"/>
      <c r="E76" s="97" t="s">
        <v>209</v>
      </c>
      <c r="F76" s="100">
        <v>240</v>
      </c>
      <c r="G76" s="69" t="s">
        <v>105</v>
      </c>
      <c r="H76" s="168"/>
    </row>
    <row r="77" spans="2:8" hidden="1">
      <c r="D77" s="139"/>
      <c r="E77" s="97" t="s">
        <v>210</v>
      </c>
      <c r="F77" s="100">
        <v>480</v>
      </c>
      <c r="G77" s="69" t="s">
        <v>105</v>
      </c>
      <c r="H77" s="168"/>
    </row>
    <row r="78" spans="2:8" hidden="1">
      <c r="D78" s="139"/>
      <c r="E78" s="97" t="s">
        <v>211</v>
      </c>
      <c r="F78" s="100">
        <v>960</v>
      </c>
      <c r="G78" s="69" t="s">
        <v>105</v>
      </c>
      <c r="H78" s="168"/>
    </row>
    <row r="79" spans="2:8" ht="51" hidden="1">
      <c r="D79" s="138" t="s">
        <v>3</v>
      </c>
      <c r="E79" s="96" t="s">
        <v>191</v>
      </c>
      <c r="F79" s="100">
        <v>2500</v>
      </c>
      <c r="G79" s="127" t="s">
        <v>223</v>
      </c>
      <c r="H79" s="168"/>
    </row>
    <row r="80" spans="2:8" ht="25.5" hidden="1">
      <c r="D80" s="139"/>
      <c r="E80" s="97" t="s">
        <v>163</v>
      </c>
      <c r="F80" s="100">
        <v>25000</v>
      </c>
      <c r="G80" s="72" t="s">
        <v>206</v>
      </c>
      <c r="H80" s="168"/>
    </row>
    <row r="81" spans="4:8" ht="25.5" hidden="1">
      <c r="D81" s="139"/>
      <c r="E81" s="97" t="s">
        <v>188</v>
      </c>
      <c r="F81" s="100">
        <v>2500</v>
      </c>
      <c r="G81" s="72" t="s">
        <v>186</v>
      </c>
      <c r="H81" s="168"/>
    </row>
    <row r="82" spans="4:8" ht="25.5" hidden="1">
      <c r="D82" s="139"/>
      <c r="E82" s="97" t="s">
        <v>189</v>
      </c>
      <c r="F82" s="100">
        <v>640</v>
      </c>
      <c r="G82" s="72" t="s">
        <v>187</v>
      </c>
      <c r="H82" s="168"/>
    </row>
    <row r="83" spans="4:8" hidden="1">
      <c r="D83" s="139"/>
      <c r="E83" s="94" t="s">
        <v>217</v>
      </c>
      <c r="F83" s="100">
        <v>10000</v>
      </c>
      <c r="G83" s="68"/>
      <c r="H83" s="168"/>
    </row>
    <row r="84" spans="4:8" hidden="1">
      <c r="D84" s="139"/>
      <c r="E84" s="94" t="s">
        <v>213</v>
      </c>
      <c r="F84" s="100">
        <v>500</v>
      </c>
      <c r="G84" s="68"/>
      <c r="H84" s="168"/>
    </row>
    <row r="85" spans="4:8" hidden="1">
      <c r="D85" s="139"/>
      <c r="E85" s="94" t="s">
        <v>214</v>
      </c>
      <c r="F85" s="100">
        <v>1000</v>
      </c>
      <c r="G85" s="68"/>
      <c r="H85" s="168"/>
    </row>
    <row r="86" spans="4:8" hidden="1">
      <c r="D86" s="139"/>
      <c r="E86" s="94" t="s">
        <v>215</v>
      </c>
      <c r="F86" s="100">
        <v>2500</v>
      </c>
      <c r="G86" s="68"/>
      <c r="H86" s="168"/>
    </row>
    <row r="87" spans="4:8" hidden="1">
      <c r="D87" s="139"/>
      <c r="E87" s="94" t="s">
        <v>216</v>
      </c>
      <c r="F87" s="100">
        <v>5000</v>
      </c>
      <c r="G87" s="68"/>
      <c r="H87" s="168"/>
    </row>
    <row r="88" spans="4:8" hidden="1">
      <c r="D88" s="139"/>
      <c r="E88" s="94" t="s">
        <v>218</v>
      </c>
      <c r="F88" s="100">
        <v>500</v>
      </c>
      <c r="G88" s="68"/>
      <c r="H88" s="168"/>
    </row>
    <row r="89" spans="4:8" hidden="1">
      <c r="D89" s="139"/>
      <c r="E89" s="94" t="s">
        <v>219</v>
      </c>
      <c r="F89" s="100">
        <v>1000</v>
      </c>
      <c r="G89" s="68"/>
      <c r="H89" s="168"/>
    </row>
    <row r="90" spans="4:8" hidden="1">
      <c r="D90" s="139"/>
      <c r="E90" s="94" t="s">
        <v>220</v>
      </c>
      <c r="F90" s="100">
        <v>2500</v>
      </c>
      <c r="G90" s="68"/>
      <c r="H90" s="168"/>
    </row>
    <row r="91" spans="4:8" hidden="1">
      <c r="D91" s="139"/>
      <c r="E91" s="94" t="s">
        <v>221</v>
      </c>
      <c r="F91" s="100">
        <v>5000</v>
      </c>
      <c r="G91" s="68"/>
      <c r="H91" s="168"/>
    </row>
    <row r="92" spans="4:8" hidden="1">
      <c r="D92" s="139"/>
      <c r="E92" s="94" t="s">
        <v>222</v>
      </c>
      <c r="F92" s="100">
        <v>10000</v>
      </c>
      <c r="G92" s="68"/>
      <c r="H92" s="168"/>
    </row>
    <row r="93" spans="4:8" hidden="1">
      <c r="D93" s="139"/>
      <c r="E93" s="96"/>
      <c r="F93" s="100"/>
      <c r="G93" s="73"/>
      <c r="H93" s="168"/>
    </row>
    <row r="94" spans="4:8" ht="25.5" hidden="1">
      <c r="D94" s="138" t="s">
        <v>63</v>
      </c>
      <c r="E94" s="96" t="s">
        <v>179</v>
      </c>
      <c r="F94" s="100">
        <v>32000</v>
      </c>
      <c r="G94" s="72" t="s">
        <v>178</v>
      </c>
      <c r="H94" s="168"/>
    </row>
    <row r="95" spans="4:8" ht="25.5" hidden="1">
      <c r="D95" s="139"/>
      <c r="E95" s="96" t="s">
        <v>180</v>
      </c>
      <c r="F95" s="100">
        <v>40000</v>
      </c>
      <c r="G95" s="72" t="s">
        <v>164</v>
      </c>
      <c r="H95" s="168"/>
    </row>
    <row r="96" spans="4:8" ht="51" hidden="1">
      <c r="D96" s="139"/>
      <c r="E96" s="69" t="s">
        <v>181</v>
      </c>
      <c r="F96" s="100">
        <v>10000</v>
      </c>
      <c r="G96" s="68" t="s">
        <v>165</v>
      </c>
      <c r="H96" s="168"/>
    </row>
    <row r="97" spans="4:8" ht="25.5" hidden="1">
      <c r="D97" s="139"/>
      <c r="E97" s="96" t="s">
        <v>182</v>
      </c>
      <c r="F97" s="100">
        <v>2500</v>
      </c>
      <c r="G97" s="73" t="s">
        <v>166</v>
      </c>
      <c r="H97" s="168"/>
    </row>
    <row r="98" spans="4:8" ht="25.5" hidden="1">
      <c r="D98" s="139"/>
      <c r="E98" s="96" t="s">
        <v>183</v>
      </c>
      <c r="F98" s="100">
        <v>640</v>
      </c>
      <c r="G98" s="73" t="s">
        <v>167</v>
      </c>
      <c r="H98" s="168"/>
    </row>
    <row r="99" spans="4:8" hidden="1">
      <c r="D99" s="139"/>
      <c r="E99" s="94"/>
      <c r="F99" s="100"/>
      <c r="G99" s="68"/>
      <c r="H99" s="168"/>
    </row>
    <row r="100" spans="4:8" hidden="1">
      <c r="D100" s="139"/>
      <c r="E100" s="94"/>
      <c r="F100" s="100"/>
      <c r="G100" s="68"/>
      <c r="H100" s="168"/>
    </row>
    <row r="101" spans="4:8" hidden="1">
      <c r="D101" s="139"/>
      <c r="E101" s="94"/>
      <c r="F101" s="100"/>
      <c r="G101" s="68"/>
      <c r="H101" s="168"/>
    </row>
    <row r="102" spans="4:8" hidden="1">
      <c r="D102" s="139"/>
      <c r="E102" s="94"/>
      <c r="F102" s="100"/>
      <c r="G102" s="68"/>
      <c r="H102" s="168"/>
    </row>
    <row r="103" spans="4:8" hidden="1">
      <c r="D103" s="139"/>
      <c r="E103" s="94"/>
      <c r="F103" s="100"/>
      <c r="G103" s="68"/>
      <c r="H103" s="168"/>
    </row>
    <row r="104" spans="4:8" hidden="1">
      <c r="D104" s="139"/>
      <c r="E104" s="94"/>
      <c r="F104" s="100"/>
      <c r="G104" s="68"/>
      <c r="H104" s="168"/>
    </row>
    <row r="105" spans="4:8" hidden="1">
      <c r="D105" s="139"/>
      <c r="E105" s="94"/>
      <c r="F105" s="100"/>
      <c r="G105" s="68"/>
      <c r="H105" s="168"/>
    </row>
    <row r="106" spans="4:8" hidden="1">
      <c r="D106" s="139"/>
      <c r="E106" s="94"/>
      <c r="F106" s="100"/>
      <c r="G106" s="68"/>
      <c r="H106" s="168"/>
    </row>
    <row r="107" spans="4:8" hidden="1">
      <c r="D107" s="139"/>
      <c r="E107" s="94"/>
      <c r="F107" s="100"/>
      <c r="G107" s="68"/>
      <c r="H107" s="168"/>
    </row>
    <row r="108" spans="4:8" hidden="1">
      <c r="D108" s="139"/>
      <c r="E108" s="94"/>
      <c r="F108" s="100"/>
      <c r="G108" s="68"/>
      <c r="H108" s="168"/>
    </row>
    <row r="109" spans="4:8" hidden="1">
      <c r="D109" s="139"/>
      <c r="E109" s="69"/>
      <c r="F109" s="100"/>
      <c r="G109" s="68"/>
      <c r="H109" s="168"/>
    </row>
    <row r="110" spans="4:8" hidden="1">
      <c r="D110" s="139"/>
      <c r="E110" s="68"/>
      <c r="F110" s="100"/>
      <c r="G110" s="68"/>
      <c r="H110" s="168"/>
    </row>
    <row r="111" spans="4:8" hidden="1">
      <c r="D111" s="138" t="s">
        <v>1</v>
      </c>
      <c r="E111" s="96" t="s">
        <v>115</v>
      </c>
      <c r="F111" s="100"/>
      <c r="G111" s="69" t="s">
        <v>114</v>
      </c>
      <c r="H111" s="168"/>
    </row>
    <row r="112" spans="4:8" hidden="1">
      <c r="D112" s="139"/>
      <c r="E112" s="96" t="s">
        <v>108</v>
      </c>
      <c r="F112" s="100"/>
      <c r="G112" s="69" t="s">
        <v>111</v>
      </c>
      <c r="H112" s="168"/>
    </row>
    <row r="113" spans="4:8" hidden="1">
      <c r="D113" s="139"/>
      <c r="E113" s="96" t="s">
        <v>109</v>
      </c>
      <c r="F113" s="100"/>
      <c r="G113" s="69" t="s">
        <v>112</v>
      </c>
      <c r="H113" s="168"/>
    </row>
    <row r="114" spans="4:8" hidden="1">
      <c r="D114" s="138" t="s">
        <v>0</v>
      </c>
      <c r="E114" s="96"/>
      <c r="F114" s="100"/>
      <c r="G114" s="68"/>
      <c r="H114" s="168"/>
    </row>
    <row r="115" spans="4:8" hidden="1">
      <c r="D115" s="139"/>
      <c r="E115" s="96"/>
      <c r="F115" s="100"/>
      <c r="G115" s="68"/>
      <c r="H115" s="168"/>
    </row>
    <row r="116" spans="4:8" hidden="1">
      <c r="D116" s="139"/>
      <c r="E116" s="68"/>
      <c r="F116" s="100"/>
      <c r="G116" s="68"/>
      <c r="H116" s="168"/>
    </row>
    <row r="117" spans="4:8" hidden="1">
      <c r="D117" s="138" t="s">
        <v>52</v>
      </c>
      <c r="E117" s="105" t="s">
        <v>2</v>
      </c>
      <c r="F117" s="100">
        <v>5</v>
      </c>
      <c r="G117" s="69" t="s">
        <v>65</v>
      </c>
      <c r="H117" s="168"/>
    </row>
    <row r="118" spans="4:8" hidden="1">
      <c r="D118" s="139"/>
      <c r="E118" s="105" t="s">
        <v>64</v>
      </c>
      <c r="F118" s="100">
        <v>10</v>
      </c>
      <c r="G118" s="68" t="s">
        <v>66</v>
      </c>
      <c r="H118" s="168"/>
    </row>
    <row r="119" spans="4:8" hidden="1">
      <c r="D119" s="139"/>
      <c r="E119" s="105" t="s">
        <v>45</v>
      </c>
      <c r="F119" s="100">
        <v>20</v>
      </c>
      <c r="G119" s="68" t="s">
        <v>67</v>
      </c>
      <c r="H119" s="168"/>
    </row>
    <row r="120" spans="4:8" hidden="1">
      <c r="D120" s="139"/>
      <c r="E120" s="68" t="s">
        <v>91</v>
      </c>
      <c r="F120" s="100">
        <v>3.2</v>
      </c>
      <c r="G120" s="69" t="s">
        <v>93</v>
      </c>
      <c r="H120" s="168"/>
    </row>
    <row r="121" spans="4:8" hidden="1">
      <c r="D121" s="139"/>
      <c r="E121" s="68" t="s">
        <v>94</v>
      </c>
      <c r="F121" s="100">
        <v>5</v>
      </c>
      <c r="G121" s="69" t="s">
        <v>92</v>
      </c>
      <c r="H121" s="168"/>
    </row>
    <row r="122" spans="4:8" hidden="1">
      <c r="D122" s="139"/>
      <c r="E122" s="68" t="s">
        <v>96</v>
      </c>
      <c r="F122" s="100">
        <v>10</v>
      </c>
      <c r="G122" s="69" t="s">
        <v>95</v>
      </c>
      <c r="H122" s="168"/>
    </row>
    <row r="123" spans="4:8" ht="38.25" hidden="1">
      <c r="D123" s="139"/>
      <c r="E123" s="75" t="s">
        <v>212</v>
      </c>
      <c r="F123" s="100">
        <v>4</v>
      </c>
      <c r="G123" s="75" t="s">
        <v>120</v>
      </c>
      <c r="H123" s="168">
        <v>35</v>
      </c>
    </row>
    <row r="124" spans="4:8" hidden="1">
      <c r="E124" s="68"/>
      <c r="F124" s="100"/>
      <c r="G124" s="68"/>
      <c r="H124" s="168"/>
    </row>
    <row r="125" spans="4:8" hidden="1">
      <c r="D125" s="63" t="s">
        <v>55</v>
      </c>
      <c r="E125" s="68" t="s">
        <v>54</v>
      </c>
      <c r="F125" s="100"/>
      <c r="G125" s="68"/>
      <c r="H125" s="168"/>
    </row>
    <row r="126" spans="4:8" hidden="1">
      <c r="E126" s="68" t="s">
        <v>97</v>
      </c>
      <c r="F126" s="100"/>
      <c r="G126" s="68"/>
      <c r="H126" s="168"/>
    </row>
    <row r="127" spans="4:8" ht="25.5" hidden="1">
      <c r="E127" s="69" t="s">
        <v>106</v>
      </c>
      <c r="F127" s="100"/>
      <c r="G127" s="69" t="s">
        <v>107</v>
      </c>
      <c r="H127" s="168"/>
    </row>
    <row r="128" spans="4:8" hidden="1">
      <c r="E128" s="68"/>
      <c r="F128" s="70"/>
      <c r="G128" s="93"/>
      <c r="H128" s="168"/>
    </row>
    <row r="129" spans="4:8" hidden="1">
      <c r="E129" s="68"/>
      <c r="F129" s="70"/>
      <c r="G129" s="93"/>
      <c r="H129" s="168"/>
    </row>
    <row r="130" spans="4:8" hidden="1">
      <c r="E130" s="68"/>
      <c r="F130" s="70"/>
      <c r="G130" s="93"/>
      <c r="H130" s="168"/>
    </row>
    <row r="131" spans="4:8" ht="22.5" hidden="1">
      <c r="D131" s="140" t="s">
        <v>75</v>
      </c>
      <c r="E131" s="37" t="s">
        <v>76</v>
      </c>
      <c r="F131" s="70">
        <v>8</v>
      </c>
      <c r="G131" s="93"/>
      <c r="H131" s="168">
        <v>23</v>
      </c>
    </row>
    <row r="132" spans="4:8" hidden="1">
      <c r="E132" s="69" t="s">
        <v>248</v>
      </c>
      <c r="F132" s="70">
        <v>16</v>
      </c>
      <c r="G132" s="93"/>
      <c r="H132" s="168">
        <v>112</v>
      </c>
    </row>
    <row r="133" spans="4:8" hidden="1">
      <c r="E133" s="68"/>
      <c r="F133" s="70"/>
      <c r="G133" s="93"/>
      <c r="H133" s="168"/>
    </row>
    <row r="134" spans="4:8" hidden="1">
      <c r="E134" s="68"/>
      <c r="F134" s="70"/>
      <c r="G134" s="93"/>
      <c r="H134" s="168"/>
    </row>
    <row r="135" spans="4:8" hidden="1">
      <c r="E135" s="68"/>
      <c r="F135" s="70"/>
      <c r="G135" s="93"/>
      <c r="H135" s="168"/>
    </row>
    <row r="136" spans="4:8" hidden="1">
      <c r="E136" s="68"/>
      <c r="F136" s="70"/>
      <c r="G136" s="93"/>
      <c r="H136" s="168"/>
    </row>
    <row r="137" spans="4:8" hidden="1">
      <c r="E137" s="68"/>
      <c r="F137" s="70"/>
      <c r="G137" s="93"/>
      <c r="H137" s="168"/>
    </row>
    <row r="138" spans="4:8" hidden="1">
      <c r="E138" s="68"/>
      <c r="F138" s="70"/>
      <c r="G138" s="93"/>
      <c r="H138" s="168"/>
    </row>
    <row r="139" spans="4:8" hidden="1">
      <c r="E139" s="68"/>
      <c r="F139" s="70"/>
      <c r="G139" s="93"/>
      <c r="H139" s="168"/>
    </row>
    <row r="140" spans="4:8" hidden="1">
      <c r="E140" s="68"/>
      <c r="F140" s="70"/>
      <c r="G140" s="93"/>
      <c r="H140" s="168"/>
    </row>
    <row r="141" spans="4:8" ht="22.5" hidden="1">
      <c r="D141" s="140" t="s">
        <v>224</v>
      </c>
      <c r="E141" s="37" t="s">
        <v>74</v>
      </c>
      <c r="F141" s="70">
        <v>2</v>
      </c>
      <c r="G141" s="93"/>
      <c r="H141" s="168">
        <v>67</v>
      </c>
    </row>
    <row r="142" spans="4:8" hidden="1">
      <c r="E142" s="69" t="s">
        <v>273</v>
      </c>
      <c r="F142" s="70">
        <v>1</v>
      </c>
      <c r="G142" s="93"/>
      <c r="H142" s="168">
        <v>90</v>
      </c>
    </row>
    <row r="143" spans="4:8" hidden="1">
      <c r="E143" s="68"/>
      <c r="F143" s="70"/>
      <c r="G143" s="93"/>
      <c r="H143" s="168"/>
    </row>
    <row r="144" spans="4:8" hidden="1">
      <c r="E144" s="68"/>
      <c r="F144" s="70"/>
      <c r="G144" s="93"/>
      <c r="H144" s="168"/>
    </row>
    <row r="145" spans="4:8" hidden="1">
      <c r="E145" s="68"/>
      <c r="F145" s="70"/>
      <c r="G145" s="93"/>
      <c r="H145" s="168"/>
    </row>
    <row r="146" spans="4:8" hidden="1">
      <c r="E146" s="68"/>
      <c r="F146" s="70"/>
      <c r="G146" s="93"/>
      <c r="H146" s="168"/>
    </row>
    <row r="147" spans="4:8" hidden="1">
      <c r="E147" s="68"/>
      <c r="F147" s="70"/>
      <c r="G147" s="93"/>
      <c r="H147" s="168"/>
    </row>
    <row r="148" spans="4:8" hidden="1">
      <c r="E148" s="68"/>
      <c r="F148" s="70"/>
      <c r="G148" s="93"/>
      <c r="H148" s="168"/>
    </row>
    <row r="149" spans="4:8" hidden="1">
      <c r="E149" s="68"/>
      <c r="F149" s="70"/>
      <c r="G149" s="93"/>
      <c r="H149" s="168"/>
    </row>
    <row r="150" spans="4:8" hidden="1">
      <c r="E150" s="68"/>
      <c r="F150" s="70"/>
      <c r="G150" s="93"/>
      <c r="H150" s="168"/>
    </row>
    <row r="151" spans="4:8">
      <c r="D151" s="162" t="s">
        <v>50</v>
      </c>
      <c r="E151" s="69" t="s">
        <v>249</v>
      </c>
      <c r="F151" s="70">
        <v>1</v>
      </c>
      <c r="G151" s="93"/>
      <c r="H151" s="168">
        <v>13</v>
      </c>
    </row>
    <row r="152" spans="4:8">
      <c r="E152" s="69" t="s">
        <v>244</v>
      </c>
      <c r="F152" s="70">
        <v>2</v>
      </c>
      <c r="G152" s="93"/>
      <c r="H152" s="168">
        <v>13</v>
      </c>
    </row>
    <row r="153" spans="4:8">
      <c r="E153" s="68"/>
      <c r="F153" s="70"/>
      <c r="G153" s="93"/>
      <c r="H153" s="168"/>
    </row>
    <row r="154" spans="4:8">
      <c r="E154" s="68"/>
      <c r="F154" s="70"/>
      <c r="G154" s="93"/>
      <c r="H154" s="168"/>
    </row>
    <row r="155" spans="4:8">
      <c r="E155" s="68"/>
      <c r="F155" s="70"/>
      <c r="G155" s="93"/>
      <c r="H155" s="168"/>
    </row>
    <row r="156" spans="4:8">
      <c r="E156" s="68"/>
      <c r="F156" s="70"/>
      <c r="G156" s="93"/>
      <c r="H156" s="168"/>
    </row>
    <row r="157" spans="4:8">
      <c r="E157" s="68"/>
      <c r="F157" s="70"/>
      <c r="G157" s="93"/>
      <c r="H157" s="168"/>
    </row>
    <row r="158" spans="4:8">
      <c r="E158" s="68"/>
      <c r="F158" s="70"/>
      <c r="G158" s="93"/>
      <c r="H158" s="168"/>
    </row>
    <row r="159" spans="4:8">
      <c r="E159" s="68"/>
      <c r="F159" s="70"/>
      <c r="G159" s="93"/>
      <c r="H159" s="168"/>
    </row>
    <row r="160" spans="4:8">
      <c r="E160" s="68"/>
      <c r="F160" s="70"/>
      <c r="G160" s="93"/>
      <c r="H160" s="168"/>
    </row>
    <row r="161" spans="4:8">
      <c r="E161" s="68"/>
      <c r="F161" s="70"/>
      <c r="G161" s="93"/>
      <c r="H161" s="168"/>
    </row>
    <row r="162" spans="4:8">
      <c r="E162" s="68"/>
      <c r="F162" s="70"/>
      <c r="G162" s="93"/>
      <c r="H162" s="168"/>
    </row>
    <row r="163" spans="4:8">
      <c r="D163" s="162" t="s">
        <v>49</v>
      </c>
      <c r="E163" s="69" t="s">
        <v>252</v>
      </c>
      <c r="F163" s="70">
        <v>1</v>
      </c>
      <c r="G163" s="93"/>
      <c r="H163" s="168">
        <v>23</v>
      </c>
    </row>
    <row r="164" spans="4:8">
      <c r="E164" s="69"/>
      <c r="F164" s="70"/>
      <c r="G164" s="93"/>
      <c r="H164" s="168"/>
    </row>
    <row r="165" spans="4:8">
      <c r="E165" s="68"/>
      <c r="F165" s="70"/>
      <c r="G165" s="93"/>
      <c r="H165" s="168"/>
    </row>
    <row r="166" spans="4:8">
      <c r="E166" s="68"/>
      <c r="F166" s="70"/>
      <c r="G166" s="93"/>
      <c r="H166" s="168"/>
    </row>
    <row r="167" spans="4:8">
      <c r="E167" s="68"/>
      <c r="F167" s="70"/>
      <c r="G167" s="93"/>
      <c r="H167" s="168"/>
    </row>
    <row r="168" spans="4:8">
      <c r="E168" s="68"/>
      <c r="F168" s="70"/>
      <c r="G168" s="93"/>
      <c r="H168" s="168"/>
    </row>
    <row r="169" spans="4:8">
      <c r="E169" s="68"/>
      <c r="F169" s="70"/>
      <c r="G169" s="93"/>
      <c r="H169" s="168"/>
    </row>
    <row r="170" spans="4:8">
      <c r="E170" s="68"/>
      <c r="F170" s="70"/>
      <c r="G170" s="93"/>
      <c r="H170" s="168"/>
    </row>
    <row r="171" spans="4:8">
      <c r="E171" s="68"/>
      <c r="F171" s="70"/>
      <c r="G171" s="93"/>
      <c r="H171" s="168"/>
    </row>
    <row r="172" spans="4:8">
      <c r="E172" s="68"/>
      <c r="F172" s="70"/>
      <c r="G172" s="93"/>
      <c r="H172" s="168"/>
    </row>
    <row r="173" spans="4:8">
      <c r="E173" s="68"/>
      <c r="F173" s="70"/>
      <c r="G173" s="93"/>
      <c r="H173" s="168"/>
    </row>
    <row r="174" spans="4:8">
      <c r="E174" s="68"/>
      <c r="F174" s="70"/>
      <c r="G174" s="93"/>
      <c r="H174" s="168"/>
    </row>
    <row r="175" spans="4:8">
      <c r="D175" s="162" t="s">
        <v>242</v>
      </c>
      <c r="E175" s="69" t="s">
        <v>250</v>
      </c>
      <c r="F175" s="70">
        <v>1</v>
      </c>
      <c r="G175" s="93"/>
      <c r="H175" s="168">
        <v>23</v>
      </c>
    </row>
    <row r="176" spans="4:8">
      <c r="E176" s="69" t="s">
        <v>251</v>
      </c>
      <c r="F176" s="70">
        <v>2</v>
      </c>
      <c r="G176" s="93"/>
      <c r="H176" s="168">
        <v>23</v>
      </c>
    </row>
    <row r="177" spans="4:8">
      <c r="E177" s="69" t="s">
        <v>265</v>
      </c>
      <c r="F177" s="70">
        <v>1</v>
      </c>
      <c r="G177" s="93"/>
      <c r="H177" s="168">
        <v>18</v>
      </c>
    </row>
    <row r="178" spans="4:8">
      <c r="E178" s="68"/>
      <c r="F178" s="70"/>
      <c r="G178" s="93"/>
      <c r="H178" s="168"/>
    </row>
    <row r="179" spans="4:8">
      <c r="E179" s="68"/>
      <c r="F179" s="70"/>
      <c r="G179" s="93"/>
      <c r="H179" s="168"/>
    </row>
    <row r="180" spans="4:8">
      <c r="E180" s="68"/>
      <c r="F180" s="70"/>
      <c r="G180" s="93"/>
      <c r="H180" s="168"/>
    </row>
    <row r="181" spans="4:8">
      <c r="E181" s="68"/>
      <c r="F181" s="70"/>
      <c r="G181" s="93"/>
      <c r="H181" s="168"/>
    </row>
    <row r="182" spans="4:8">
      <c r="E182" s="68"/>
      <c r="F182" s="70"/>
      <c r="G182" s="93"/>
      <c r="H182" s="168"/>
    </row>
    <row r="183" spans="4:8">
      <c r="E183" s="68"/>
      <c r="F183" s="70"/>
      <c r="G183" s="93"/>
      <c r="H183" s="168"/>
    </row>
    <row r="184" spans="4:8">
      <c r="E184" s="68"/>
      <c r="F184" s="70"/>
      <c r="G184" s="93"/>
      <c r="H184" s="168"/>
    </row>
    <row r="185" spans="4:8">
      <c r="E185" s="68"/>
      <c r="F185" s="70"/>
      <c r="G185" s="93"/>
      <c r="H185" s="168"/>
    </row>
    <row r="186" spans="4:8">
      <c r="E186" s="68"/>
      <c r="F186" s="70"/>
      <c r="G186" s="93"/>
      <c r="H186" s="168"/>
    </row>
    <row r="187" spans="4:8">
      <c r="D187" s="162" t="s">
        <v>71</v>
      </c>
      <c r="E187" s="69" t="s">
        <v>262</v>
      </c>
      <c r="F187" s="70">
        <v>1</v>
      </c>
      <c r="G187" s="93"/>
      <c r="H187" s="168">
        <v>13</v>
      </c>
    </row>
    <row r="188" spans="4:8">
      <c r="E188" s="69" t="s">
        <v>243</v>
      </c>
      <c r="F188" s="70">
        <v>2</v>
      </c>
      <c r="G188" s="93"/>
      <c r="H188" s="168">
        <v>13</v>
      </c>
    </row>
    <row r="189" spans="4:8">
      <c r="E189" s="69" t="s">
        <v>264</v>
      </c>
      <c r="F189" s="70">
        <v>1</v>
      </c>
      <c r="G189" s="93"/>
      <c r="H189" s="168">
        <v>13</v>
      </c>
    </row>
    <row r="190" spans="4:8">
      <c r="E190" s="68"/>
      <c r="F190" s="70"/>
      <c r="G190" s="93"/>
      <c r="H190" s="168"/>
    </row>
    <row r="191" spans="4:8">
      <c r="E191" s="68"/>
      <c r="F191" s="70"/>
      <c r="G191" s="93"/>
      <c r="H191" s="168"/>
    </row>
    <row r="192" spans="4:8">
      <c r="E192" s="68"/>
      <c r="F192" s="70"/>
      <c r="G192" s="93"/>
      <c r="H192" s="168"/>
    </row>
    <row r="193" spans="4:8">
      <c r="E193" s="68"/>
      <c r="F193" s="70"/>
      <c r="G193" s="93"/>
      <c r="H193" s="168"/>
    </row>
    <row r="194" spans="4:8">
      <c r="E194" s="68"/>
      <c r="F194" s="70"/>
      <c r="G194" s="93"/>
      <c r="H194" s="168"/>
    </row>
    <row r="195" spans="4:8">
      <c r="E195" s="68"/>
      <c r="F195" s="70"/>
      <c r="G195" s="93"/>
      <c r="H195" s="168"/>
    </row>
    <row r="196" spans="4:8">
      <c r="E196" s="68"/>
      <c r="F196" s="70"/>
      <c r="G196" s="93"/>
      <c r="H196" s="168"/>
    </row>
    <row r="197" spans="4:8">
      <c r="E197" s="68"/>
      <c r="F197" s="70"/>
      <c r="G197" s="93"/>
      <c r="H197" s="168"/>
    </row>
    <row r="198" spans="4:8">
      <c r="E198" s="68"/>
      <c r="F198" s="70"/>
      <c r="G198" s="93"/>
      <c r="H198" s="168"/>
    </row>
    <row r="199" spans="4:8">
      <c r="D199" s="162" t="s">
        <v>72</v>
      </c>
      <c r="E199" s="69" t="s">
        <v>256</v>
      </c>
      <c r="F199" s="70">
        <v>1</v>
      </c>
      <c r="G199" s="93"/>
      <c r="H199" s="168">
        <v>13</v>
      </c>
    </row>
    <row r="200" spans="4:8">
      <c r="E200" s="69" t="s">
        <v>261</v>
      </c>
      <c r="F200" s="70">
        <v>2</v>
      </c>
      <c r="G200" s="93"/>
      <c r="H200" s="168">
        <v>13</v>
      </c>
    </row>
    <row r="201" spans="4:8">
      <c r="E201" s="69" t="s">
        <v>267</v>
      </c>
      <c r="F201" s="70">
        <v>1</v>
      </c>
      <c r="G201" s="93"/>
      <c r="H201" s="168">
        <v>13</v>
      </c>
    </row>
    <row r="202" spans="4:8">
      <c r="E202" s="68"/>
      <c r="F202" s="70"/>
      <c r="G202" s="93"/>
      <c r="H202" s="168"/>
    </row>
    <row r="203" spans="4:8">
      <c r="E203" s="68"/>
      <c r="F203" s="70"/>
      <c r="G203" s="93"/>
      <c r="H203" s="168"/>
    </row>
    <row r="204" spans="4:8">
      <c r="E204" s="68"/>
      <c r="F204" s="70"/>
      <c r="G204" s="93"/>
      <c r="H204" s="168"/>
    </row>
    <row r="205" spans="4:8">
      <c r="E205" s="68"/>
      <c r="F205" s="70"/>
      <c r="G205" s="93"/>
      <c r="H205" s="168"/>
    </row>
    <row r="206" spans="4:8">
      <c r="E206" s="68"/>
      <c r="F206" s="70"/>
      <c r="G206" s="93"/>
      <c r="H206" s="168"/>
    </row>
    <row r="207" spans="4:8">
      <c r="E207" s="68"/>
      <c r="F207" s="70"/>
      <c r="G207" s="93"/>
      <c r="H207" s="168"/>
    </row>
    <row r="208" spans="4:8">
      <c r="E208" s="68"/>
      <c r="F208" s="70"/>
      <c r="G208" s="93"/>
      <c r="H208" s="168"/>
    </row>
    <row r="209" spans="4:8">
      <c r="E209" s="68"/>
      <c r="F209" s="70"/>
      <c r="G209" s="93"/>
      <c r="H209" s="168"/>
    </row>
    <row r="210" spans="4:8">
      <c r="D210" s="162" t="s">
        <v>48</v>
      </c>
      <c r="E210" s="69" t="s">
        <v>256</v>
      </c>
      <c r="F210" s="70">
        <v>1</v>
      </c>
      <c r="G210" s="93"/>
      <c r="H210" s="168"/>
    </row>
    <row r="211" spans="4:8">
      <c r="E211" s="69" t="s">
        <v>257</v>
      </c>
      <c r="F211" s="70">
        <v>2</v>
      </c>
      <c r="G211" s="93"/>
      <c r="H211" s="168">
        <v>13</v>
      </c>
    </row>
    <row r="212" spans="4:8">
      <c r="E212" s="69" t="s">
        <v>258</v>
      </c>
      <c r="F212" s="70">
        <v>3</v>
      </c>
      <c r="G212" s="93"/>
      <c r="H212" s="168">
        <v>23</v>
      </c>
    </row>
    <row r="213" spans="4:8">
      <c r="E213" s="69" t="s">
        <v>263</v>
      </c>
      <c r="F213" s="70">
        <v>4</v>
      </c>
      <c r="G213" s="93"/>
      <c r="H213" s="168">
        <v>23</v>
      </c>
    </row>
    <row r="214" spans="4:8">
      <c r="E214" s="69" t="s">
        <v>259</v>
      </c>
      <c r="F214" s="70">
        <v>1</v>
      </c>
      <c r="G214" s="93"/>
      <c r="H214" s="168">
        <v>23</v>
      </c>
    </row>
    <row r="215" spans="4:8">
      <c r="E215" s="69" t="s">
        <v>260</v>
      </c>
      <c r="F215" s="70">
        <v>2</v>
      </c>
      <c r="G215" s="93"/>
      <c r="H215" s="168">
        <v>23</v>
      </c>
    </row>
    <row r="216" spans="4:8">
      <c r="E216" s="69" t="s">
        <v>266</v>
      </c>
      <c r="F216" s="70">
        <v>1</v>
      </c>
      <c r="G216" s="93"/>
      <c r="H216" s="168">
        <v>13</v>
      </c>
    </row>
    <row r="217" spans="4:8">
      <c r="E217" s="68"/>
      <c r="F217" s="70"/>
      <c r="G217" s="93"/>
      <c r="H217" s="168"/>
    </row>
    <row r="218" spans="4:8">
      <c r="E218" s="68"/>
      <c r="F218" s="70"/>
      <c r="G218" s="93"/>
      <c r="H218" s="168"/>
    </row>
    <row r="219" spans="4:8">
      <c r="E219" s="68"/>
      <c r="F219" s="70"/>
      <c r="G219" s="93"/>
      <c r="H219" s="168"/>
    </row>
    <row r="220" spans="4:8">
      <c r="E220" s="68"/>
      <c r="F220" s="70"/>
      <c r="G220" s="93"/>
      <c r="H220" s="168"/>
    </row>
    <row r="221" spans="4:8" ht="25.5">
      <c r="D221" s="162" t="s">
        <v>73</v>
      </c>
      <c r="E221" s="69" t="s">
        <v>254</v>
      </c>
      <c r="F221" s="70">
        <v>1</v>
      </c>
      <c r="G221" s="107" t="s">
        <v>253</v>
      </c>
      <c r="H221" s="168">
        <v>23</v>
      </c>
    </row>
    <row r="222" spans="4:8" ht="25.5">
      <c r="E222" s="69" t="s">
        <v>255</v>
      </c>
      <c r="F222" s="70">
        <v>2</v>
      </c>
      <c r="G222" s="107" t="s">
        <v>253</v>
      </c>
      <c r="H222" s="168">
        <v>23</v>
      </c>
    </row>
    <row r="223" spans="4:8">
      <c r="E223" s="69"/>
      <c r="F223" s="70"/>
      <c r="G223" s="93"/>
      <c r="H223" s="168"/>
    </row>
    <row r="224" spans="4:8">
      <c r="E224" s="68"/>
      <c r="F224" s="70"/>
      <c r="G224" s="93"/>
      <c r="H224" s="168"/>
    </row>
    <row r="225" spans="5:8">
      <c r="E225" s="68"/>
      <c r="F225" s="70"/>
      <c r="G225" s="93"/>
      <c r="H225" s="168"/>
    </row>
    <row r="226" spans="5:8">
      <c r="E226" s="68"/>
      <c r="F226" s="70"/>
      <c r="G226" s="93"/>
      <c r="H226" s="168"/>
    </row>
    <row r="227" spans="5:8">
      <c r="E227" s="68"/>
      <c r="F227" s="70"/>
      <c r="G227" s="93"/>
      <c r="H227" s="168"/>
    </row>
    <row r="228" spans="5:8">
      <c r="E228" s="68"/>
      <c r="F228" s="70"/>
      <c r="G228" s="93"/>
      <c r="H228" s="168"/>
    </row>
    <row r="229" spans="5:8">
      <c r="E229" s="68"/>
      <c r="F229" s="70"/>
      <c r="G229" s="93"/>
      <c r="H229" s="168"/>
    </row>
    <row r="230" spans="5:8">
      <c r="E230" s="68"/>
      <c r="F230" s="70"/>
      <c r="G230" s="93"/>
      <c r="H230" s="168"/>
    </row>
    <row r="231" spans="5:8">
      <c r="E231" s="68"/>
      <c r="F231" s="70"/>
      <c r="G231" s="93"/>
      <c r="H231" s="168"/>
    </row>
    <row r="232" spans="5:8">
      <c r="E232" s="68"/>
      <c r="F232" s="70"/>
      <c r="G232" s="93"/>
      <c r="H232" s="168"/>
    </row>
    <row r="233" spans="5:8">
      <c r="E233" s="68"/>
      <c r="F233" s="70"/>
      <c r="G233" s="93"/>
      <c r="H233" s="168"/>
    </row>
    <row r="234" spans="5:8">
      <c r="E234" s="68"/>
      <c r="F234" s="70"/>
      <c r="G234" s="93"/>
      <c r="H234" s="168"/>
    </row>
    <row r="235" spans="5:8">
      <c r="E235" s="68"/>
      <c r="F235" s="70"/>
      <c r="G235" s="93"/>
      <c r="H235" s="168"/>
    </row>
    <row r="236" spans="5:8">
      <c r="E236" s="68"/>
      <c r="F236" s="70"/>
      <c r="G236" s="93"/>
      <c r="H236" s="168"/>
    </row>
    <row r="237" spans="5:8">
      <c r="E237" s="68"/>
      <c r="F237" s="70"/>
      <c r="G237" s="93"/>
      <c r="H237" s="168"/>
    </row>
    <row r="238" spans="5:8">
      <c r="E238" s="68"/>
      <c r="F238" s="70"/>
      <c r="G238" s="93"/>
      <c r="H238" s="168"/>
    </row>
    <row r="239" spans="5:8">
      <c r="E239" s="68"/>
      <c r="F239" s="70"/>
      <c r="G239" s="93"/>
      <c r="H239" s="168"/>
    </row>
    <row r="240" spans="5:8">
      <c r="E240" s="68"/>
      <c r="F240" s="70"/>
      <c r="G240" s="93"/>
      <c r="H240" s="168"/>
    </row>
    <row r="241" spans="5:8">
      <c r="E241" s="68"/>
      <c r="F241" s="70"/>
      <c r="G241" s="93"/>
      <c r="H241" s="168"/>
    </row>
    <row r="242" spans="5:8">
      <c r="E242" s="68"/>
      <c r="F242" s="70"/>
      <c r="G242" s="93"/>
      <c r="H242" s="168"/>
    </row>
    <row r="243" spans="5:8">
      <c r="E243" s="68"/>
      <c r="F243" s="70"/>
      <c r="G243" s="93"/>
      <c r="H243" s="168"/>
    </row>
    <row r="244" spans="5:8">
      <c r="E244" s="68"/>
      <c r="F244" s="70"/>
      <c r="G244" s="93"/>
      <c r="H244" s="168"/>
    </row>
    <row r="245" spans="5:8">
      <c r="E245" s="68"/>
      <c r="F245" s="70"/>
      <c r="G245" s="93"/>
      <c r="H245" s="168"/>
    </row>
    <row r="246" spans="5:8">
      <c r="E246" s="68"/>
      <c r="F246" s="70"/>
      <c r="G246" s="93"/>
      <c r="H246" s="168"/>
    </row>
    <row r="247" spans="5:8">
      <c r="E247" s="68"/>
      <c r="F247" s="70"/>
      <c r="G247" s="93"/>
      <c r="H247" s="168"/>
    </row>
    <row r="248" spans="5:8">
      <c r="E248" s="68"/>
      <c r="F248" s="70"/>
      <c r="G248" s="93"/>
      <c r="H248" s="168"/>
    </row>
    <row r="249" spans="5:8">
      <c r="E249" s="68"/>
      <c r="F249" s="70"/>
      <c r="G249" s="93"/>
      <c r="H249" s="168"/>
    </row>
    <row r="250" spans="5:8">
      <c r="E250" s="68"/>
      <c r="F250" s="70"/>
      <c r="G250" s="93"/>
      <c r="H250" s="168"/>
    </row>
    <row r="251" spans="5:8">
      <c r="E251" s="68"/>
      <c r="F251" s="70"/>
      <c r="G251" s="93"/>
      <c r="H251" s="168"/>
    </row>
    <row r="252" spans="5:8">
      <c r="E252" s="68"/>
      <c r="F252" s="70"/>
      <c r="G252" s="93"/>
      <c r="H252" s="168"/>
    </row>
    <row r="253" spans="5:8">
      <c r="E253" s="68"/>
      <c r="F253" s="70"/>
      <c r="G253" s="93"/>
      <c r="H253" s="168"/>
    </row>
    <row r="254" spans="5:8">
      <c r="E254" s="68"/>
      <c r="F254" s="70"/>
      <c r="G254" s="93"/>
      <c r="H254" s="168"/>
    </row>
    <row r="255" spans="5:8">
      <c r="E255" s="68"/>
      <c r="F255" s="70"/>
      <c r="G255" s="93"/>
      <c r="H255" s="168"/>
    </row>
    <row r="256" spans="5:8">
      <c r="E256" s="68"/>
      <c r="F256" s="70"/>
      <c r="G256" s="93"/>
      <c r="H256" s="168"/>
    </row>
    <row r="257" spans="5:8">
      <c r="E257" s="68"/>
      <c r="F257" s="70"/>
      <c r="G257" s="93"/>
      <c r="H257" s="168"/>
    </row>
    <row r="258" spans="5:8">
      <c r="E258" s="68"/>
      <c r="F258" s="70"/>
      <c r="G258" s="93"/>
      <c r="H258" s="168"/>
    </row>
    <row r="259" spans="5:8">
      <c r="E259" s="68"/>
      <c r="F259" s="70"/>
      <c r="G259" s="93"/>
      <c r="H259" s="168"/>
    </row>
    <row r="260" spans="5:8">
      <c r="E260" s="68"/>
      <c r="F260" s="70"/>
      <c r="G260" s="93"/>
      <c r="H260" s="168"/>
    </row>
    <row r="261" spans="5:8">
      <c r="E261" s="68"/>
      <c r="F261" s="70"/>
      <c r="G261" s="93"/>
      <c r="H261" s="168"/>
    </row>
    <row r="262" spans="5:8">
      <c r="E262" s="68"/>
      <c r="F262" s="70"/>
      <c r="G262" s="93"/>
      <c r="H262" s="168"/>
    </row>
    <row r="263" spans="5:8">
      <c r="E263" s="68"/>
      <c r="F263" s="70"/>
      <c r="G263" s="93"/>
      <c r="H263" s="168"/>
    </row>
    <row r="264" spans="5:8">
      <c r="E264" s="68"/>
      <c r="F264" s="70"/>
      <c r="G264" s="93"/>
      <c r="H264" s="168"/>
    </row>
    <row r="265" spans="5:8">
      <c r="E265" s="68"/>
      <c r="F265" s="70"/>
      <c r="G265" s="93"/>
      <c r="H265" s="168"/>
    </row>
    <row r="266" spans="5:8">
      <c r="E266" s="68"/>
      <c r="F266" s="70"/>
      <c r="G266" s="93"/>
      <c r="H266" s="168"/>
    </row>
    <row r="267" spans="5:8">
      <c r="E267" s="68"/>
      <c r="F267" s="70"/>
      <c r="G267" s="93"/>
      <c r="H267" s="168"/>
    </row>
    <row r="268" spans="5:8">
      <c r="E268" s="68"/>
      <c r="F268" s="70"/>
      <c r="G268" s="93"/>
      <c r="H268" s="168"/>
    </row>
    <row r="269" spans="5:8">
      <c r="E269" s="68"/>
      <c r="F269" s="70"/>
      <c r="G269" s="93"/>
      <c r="H269" s="168"/>
    </row>
    <row r="270" spans="5:8">
      <c r="E270" s="68"/>
      <c r="F270" s="70"/>
      <c r="G270" s="93"/>
      <c r="H270" s="168"/>
    </row>
    <row r="271" spans="5:8">
      <c r="E271" s="68"/>
      <c r="F271" s="70"/>
      <c r="G271" s="93"/>
      <c r="H271" s="168"/>
    </row>
    <row r="272" spans="5:8">
      <c r="E272" s="68"/>
      <c r="F272" s="70"/>
      <c r="G272" s="93"/>
      <c r="H272" s="168"/>
    </row>
    <row r="273" spans="5:8">
      <c r="E273" s="68"/>
      <c r="F273" s="70"/>
      <c r="G273" s="93"/>
      <c r="H273" s="168"/>
    </row>
    <row r="274" spans="5:8">
      <c r="E274" s="68"/>
      <c r="F274" s="70"/>
      <c r="G274" s="93"/>
      <c r="H274" s="168"/>
    </row>
    <row r="275" spans="5:8">
      <c r="E275" s="68"/>
      <c r="F275" s="70"/>
      <c r="G275" s="93"/>
      <c r="H275" s="168"/>
    </row>
    <row r="276" spans="5:8">
      <c r="E276" s="68"/>
      <c r="F276" s="70"/>
      <c r="G276" s="93"/>
      <c r="H276" s="168"/>
    </row>
    <row r="277" spans="5:8">
      <c r="E277" s="68"/>
      <c r="F277" s="70"/>
      <c r="G277" s="93"/>
      <c r="H277" s="168"/>
    </row>
    <row r="278" spans="5:8">
      <c r="E278" s="68"/>
      <c r="F278" s="70"/>
      <c r="G278" s="93"/>
      <c r="H278" s="168"/>
    </row>
    <row r="279" spans="5:8">
      <c r="E279" s="68"/>
      <c r="F279" s="70"/>
      <c r="G279" s="93"/>
      <c r="H279" s="168"/>
    </row>
    <row r="280" spans="5:8">
      <c r="E280" s="68"/>
      <c r="F280" s="70"/>
      <c r="G280" s="93"/>
      <c r="H280" s="168"/>
    </row>
    <row r="281" spans="5:8">
      <c r="E281" s="68"/>
      <c r="F281" s="70"/>
      <c r="G281" s="93"/>
      <c r="H281" s="168"/>
    </row>
    <row r="282" spans="5:8">
      <c r="E282" s="68"/>
      <c r="F282" s="70"/>
      <c r="G282" s="93"/>
      <c r="H282" s="168"/>
    </row>
    <row r="283" spans="5:8">
      <c r="E283" s="68"/>
      <c r="F283" s="70"/>
      <c r="G283" s="93"/>
      <c r="H283" s="168"/>
    </row>
    <row r="284" spans="5:8">
      <c r="E284" s="68"/>
      <c r="F284" s="70"/>
      <c r="G284" s="93"/>
      <c r="H284" s="168"/>
    </row>
    <row r="285" spans="5:8">
      <c r="E285" s="68"/>
      <c r="F285" s="70"/>
      <c r="G285" s="93"/>
      <c r="H285" s="168"/>
    </row>
    <row r="286" spans="5:8">
      <c r="E286" s="68"/>
      <c r="F286" s="70"/>
      <c r="G286" s="93"/>
      <c r="H286" s="168"/>
    </row>
    <row r="287" spans="5:8">
      <c r="E287" s="68"/>
      <c r="F287" s="70"/>
      <c r="G287" s="93"/>
      <c r="H287" s="168"/>
    </row>
    <row r="288" spans="5:8">
      <c r="E288" s="68"/>
      <c r="F288" s="70"/>
      <c r="G288" s="93"/>
      <c r="H288" s="168"/>
    </row>
    <row r="289" spans="5:8">
      <c r="E289" s="68"/>
      <c r="F289" s="70"/>
      <c r="G289" s="93"/>
      <c r="H289" s="168"/>
    </row>
    <row r="290" spans="5:8">
      <c r="E290" s="68"/>
      <c r="F290" s="70"/>
      <c r="G290" s="93"/>
      <c r="H290" s="168"/>
    </row>
    <row r="291" spans="5:8">
      <c r="E291" s="68"/>
      <c r="F291" s="70"/>
      <c r="G291" s="93"/>
      <c r="H291" s="168"/>
    </row>
    <row r="292" spans="5:8">
      <c r="E292" s="68"/>
      <c r="F292" s="70"/>
      <c r="G292" s="93"/>
      <c r="H292" s="168"/>
    </row>
    <row r="293" spans="5:8">
      <c r="E293" s="68"/>
      <c r="F293" s="70"/>
      <c r="G293" s="93"/>
      <c r="H293" s="168"/>
    </row>
    <row r="294" spans="5:8">
      <c r="E294" s="163"/>
      <c r="F294" s="164"/>
      <c r="G294" s="165"/>
    </row>
    <row r="295" spans="5:8">
      <c r="E295" s="68"/>
      <c r="F295" s="70"/>
      <c r="G295" s="93"/>
    </row>
    <row r="296" spans="5:8">
      <c r="E296" s="68"/>
      <c r="F296" s="70"/>
      <c r="G296" s="93"/>
    </row>
    <row r="297" spans="5:8">
      <c r="E297" s="68"/>
      <c r="F297" s="70"/>
      <c r="G297" s="93"/>
    </row>
    <row r="298" spans="5:8">
      <c r="E298" s="68"/>
      <c r="F298" s="70"/>
      <c r="G298" s="93"/>
    </row>
    <row r="299" spans="5:8">
      <c r="E299" s="68"/>
      <c r="F299" s="70"/>
      <c r="G299" s="93"/>
    </row>
    <row r="300" spans="5:8">
      <c r="E300" s="68"/>
      <c r="F300" s="70"/>
      <c r="G300" s="93"/>
    </row>
    <row r="301" spans="5:8">
      <c r="E301" s="68"/>
      <c r="F301" s="70"/>
      <c r="G301" s="93"/>
    </row>
    <row r="302" spans="5:8">
      <c r="E302" s="68"/>
      <c r="F302" s="70"/>
      <c r="G302" s="93"/>
    </row>
    <row r="303" spans="5:8">
      <c r="E303" s="68"/>
      <c r="F303" s="70"/>
      <c r="G303" s="93"/>
    </row>
    <row r="304" spans="5:8">
      <c r="E304" s="68"/>
      <c r="F304" s="70"/>
      <c r="G304" s="93"/>
    </row>
    <row r="305" spans="5:7">
      <c r="E305" s="68"/>
      <c r="F305" s="70"/>
      <c r="G305" s="93"/>
    </row>
    <row r="306" spans="5:7">
      <c r="E306" s="68"/>
      <c r="F306" s="70"/>
      <c r="G306" s="93"/>
    </row>
    <row r="307" spans="5:7">
      <c r="E307" s="68"/>
      <c r="F307" s="70"/>
      <c r="G307" s="93"/>
    </row>
    <row r="308" spans="5:7">
      <c r="E308" s="68"/>
      <c r="F308" s="70"/>
      <c r="G308" s="93"/>
    </row>
    <row r="309" spans="5:7">
      <c r="E309" s="68"/>
      <c r="F309" s="70"/>
      <c r="G309" s="93"/>
    </row>
    <row r="310" spans="5:7">
      <c r="E310" s="68"/>
      <c r="F310" s="70"/>
      <c r="G310" s="93"/>
    </row>
    <row r="311" spans="5:7">
      <c r="E311" s="68"/>
      <c r="F311" s="70"/>
      <c r="G311" s="93"/>
    </row>
    <row r="312" spans="5:7">
      <c r="E312" s="68"/>
      <c r="F312" s="70"/>
      <c r="G312" s="93"/>
    </row>
    <row r="313" spans="5:7">
      <c r="E313" s="68"/>
      <c r="F313" s="70"/>
      <c r="G313" s="93"/>
    </row>
    <row r="314" spans="5:7">
      <c r="E314" s="68"/>
      <c r="F314" s="70"/>
      <c r="G314" s="93"/>
    </row>
    <row r="315" spans="5:7">
      <c r="E315" s="68"/>
      <c r="F315" s="70"/>
      <c r="G315" s="93"/>
    </row>
    <row r="316" spans="5:7">
      <c r="E316" s="68"/>
      <c r="F316" s="70"/>
      <c r="G316" s="93"/>
    </row>
    <row r="317" spans="5:7">
      <c r="E317" s="68"/>
      <c r="F317" s="70"/>
      <c r="G317" s="93"/>
    </row>
    <row r="318" spans="5:7">
      <c r="E318" s="68"/>
      <c r="F318" s="70"/>
      <c r="G318" s="93"/>
    </row>
    <row r="319" spans="5:7">
      <c r="E319" s="68"/>
      <c r="F319" s="70"/>
      <c r="G319" s="93"/>
    </row>
    <row r="320" spans="5:7">
      <c r="E320" s="68"/>
      <c r="F320" s="70"/>
      <c r="G320" s="93"/>
    </row>
    <row r="321" spans="5:7">
      <c r="E321" s="68"/>
      <c r="F321" s="70"/>
      <c r="G321" s="93"/>
    </row>
    <row r="322" spans="5:7">
      <c r="E322" s="68"/>
      <c r="F322" s="70"/>
      <c r="G322" s="93"/>
    </row>
    <row r="323" spans="5:7">
      <c r="E323" s="68"/>
      <c r="F323" s="70"/>
      <c r="G323" s="93"/>
    </row>
    <row r="324" spans="5:7">
      <c r="E324" s="68"/>
      <c r="F324" s="70"/>
      <c r="G324" s="93"/>
    </row>
    <row r="325" spans="5:7">
      <c r="E325" s="68"/>
      <c r="F325" s="70"/>
      <c r="G325" s="93"/>
    </row>
    <row r="326" spans="5:7">
      <c r="E326" s="68"/>
      <c r="F326" s="70"/>
      <c r="G326" s="93"/>
    </row>
    <row r="327" spans="5:7">
      <c r="E327" s="68"/>
      <c r="F327" s="70"/>
      <c r="G327" s="93"/>
    </row>
    <row r="328" spans="5:7">
      <c r="E328" s="68"/>
      <c r="F328" s="70"/>
      <c r="G328" s="93"/>
    </row>
    <row r="329" spans="5:7">
      <c r="E329" s="68"/>
      <c r="F329" s="70"/>
      <c r="G329" s="93"/>
    </row>
    <row r="330" spans="5:7">
      <c r="E330" s="68"/>
      <c r="F330" s="70"/>
      <c r="G330" s="93"/>
    </row>
    <row r="331" spans="5:7">
      <c r="E331" s="68"/>
      <c r="F331" s="70"/>
      <c r="G331" s="93"/>
    </row>
    <row r="332" spans="5:7">
      <c r="E332" s="68"/>
      <c r="F332" s="70"/>
      <c r="G332" s="93"/>
    </row>
    <row r="333" spans="5:7">
      <c r="E333" s="68"/>
      <c r="F333" s="70"/>
      <c r="G333" s="93"/>
    </row>
    <row r="334" spans="5:7">
      <c r="E334" s="68"/>
      <c r="F334" s="70"/>
      <c r="G334" s="93"/>
    </row>
    <row r="335" spans="5:7">
      <c r="E335" s="68"/>
      <c r="F335" s="70"/>
      <c r="G335" s="93"/>
    </row>
    <row r="336" spans="5:7">
      <c r="E336" s="68"/>
      <c r="F336" s="70"/>
      <c r="G336" s="93"/>
    </row>
    <row r="337" spans="5:7">
      <c r="E337" s="68"/>
      <c r="F337" s="70"/>
      <c r="G337" s="93"/>
    </row>
    <row r="338" spans="5:7">
      <c r="E338" s="68"/>
      <c r="F338" s="70"/>
      <c r="G338" s="93"/>
    </row>
    <row r="339" spans="5:7">
      <c r="E339" s="68"/>
      <c r="F339" s="70"/>
      <c r="G339" s="93"/>
    </row>
    <row r="340" spans="5:7">
      <c r="E340" s="68"/>
      <c r="F340" s="70"/>
      <c r="G340" s="93"/>
    </row>
    <row r="341" spans="5:7">
      <c r="E341" s="68"/>
      <c r="F341" s="70"/>
      <c r="G341" s="93"/>
    </row>
    <row r="342" spans="5:7">
      <c r="E342" s="68"/>
      <c r="F342" s="70"/>
      <c r="G342" s="93"/>
    </row>
    <row r="343" spans="5:7">
      <c r="E343" s="68"/>
      <c r="F343" s="70"/>
      <c r="G343" s="93"/>
    </row>
    <row r="344" spans="5:7">
      <c r="E344" s="68"/>
      <c r="F344" s="70"/>
      <c r="G344" s="93"/>
    </row>
    <row r="345" spans="5:7">
      <c r="E345" s="68"/>
      <c r="F345" s="70"/>
      <c r="G345" s="93"/>
    </row>
    <row r="346" spans="5:7">
      <c r="E346" s="68"/>
      <c r="F346" s="70"/>
      <c r="G346" s="93"/>
    </row>
    <row r="347" spans="5:7">
      <c r="E347" s="68"/>
      <c r="F347" s="70"/>
      <c r="G347" s="93"/>
    </row>
    <row r="348" spans="5:7">
      <c r="E348" s="68"/>
      <c r="F348" s="70"/>
      <c r="G348" s="93"/>
    </row>
    <row r="349" spans="5:7">
      <c r="E349" s="68"/>
      <c r="F349" s="70"/>
      <c r="G349" s="93"/>
    </row>
    <row r="350" spans="5:7">
      <c r="E350" s="68"/>
      <c r="F350" s="70"/>
      <c r="G350" s="93"/>
    </row>
    <row r="351" spans="5:7">
      <c r="E351" s="68"/>
      <c r="F351" s="70"/>
      <c r="G351" s="93"/>
    </row>
    <row r="352" spans="5:7">
      <c r="E352" s="68"/>
      <c r="F352" s="70"/>
      <c r="G352" s="93"/>
    </row>
    <row r="353" spans="5:7">
      <c r="E353" s="68"/>
      <c r="F353" s="70"/>
      <c r="G353" s="93"/>
    </row>
    <row r="354" spans="5:7">
      <c r="E354" s="68"/>
      <c r="F354" s="70"/>
      <c r="G354" s="93"/>
    </row>
    <row r="355" spans="5:7">
      <c r="E355" s="68"/>
      <c r="F355" s="70"/>
      <c r="G355" s="93"/>
    </row>
    <row r="356" spans="5:7">
      <c r="E356" s="68"/>
      <c r="F356" s="70"/>
      <c r="G356" s="93"/>
    </row>
    <row r="357" spans="5:7">
      <c r="E357" s="68"/>
      <c r="F357" s="70"/>
      <c r="G357" s="93"/>
    </row>
    <row r="358" spans="5:7">
      <c r="E358" s="68"/>
      <c r="F358" s="70"/>
      <c r="G358" s="93"/>
    </row>
    <row r="359" spans="5:7">
      <c r="E359" s="68"/>
      <c r="F359" s="70"/>
      <c r="G359" s="93"/>
    </row>
    <row r="360" spans="5:7">
      <c r="E360" s="68"/>
      <c r="F360" s="70"/>
      <c r="G360" s="93"/>
    </row>
    <row r="361" spans="5:7">
      <c r="E361" s="68"/>
      <c r="F361" s="70"/>
      <c r="G361" s="93"/>
    </row>
    <row r="362" spans="5:7">
      <c r="E362" s="68"/>
      <c r="F362" s="70"/>
      <c r="G362" s="93"/>
    </row>
    <row r="363" spans="5:7">
      <c r="E363" s="68"/>
      <c r="F363" s="70"/>
      <c r="G363" s="93"/>
    </row>
    <row r="364" spans="5:7">
      <c r="E364" s="68"/>
      <c r="F364" s="70"/>
      <c r="G364" s="93"/>
    </row>
    <row r="365" spans="5:7">
      <c r="E365" s="68"/>
      <c r="F365" s="70"/>
      <c r="G365" s="93"/>
    </row>
    <row r="366" spans="5:7">
      <c r="E366" s="68"/>
      <c r="F366" s="70"/>
      <c r="G366" s="93"/>
    </row>
    <row r="367" spans="5:7">
      <c r="E367" s="68"/>
      <c r="F367" s="70"/>
      <c r="G367" s="93"/>
    </row>
    <row r="368" spans="5:7">
      <c r="E368" s="68"/>
      <c r="F368" s="70"/>
      <c r="G368" s="93"/>
    </row>
    <row r="369" spans="5:7">
      <c r="E369" s="68"/>
      <c r="F369" s="70"/>
      <c r="G369" s="93"/>
    </row>
    <row r="370" spans="5:7">
      <c r="E370" s="68"/>
      <c r="F370" s="70"/>
      <c r="G370" s="93"/>
    </row>
    <row r="371" spans="5:7">
      <c r="E371" s="68"/>
      <c r="F371" s="70"/>
      <c r="G371" s="93"/>
    </row>
    <row r="372" spans="5:7">
      <c r="E372" s="68"/>
      <c r="F372" s="70"/>
      <c r="G372" s="93"/>
    </row>
    <row r="373" spans="5:7">
      <c r="E373" s="68"/>
      <c r="F373" s="70"/>
      <c r="G373" s="93"/>
    </row>
    <row r="374" spans="5:7">
      <c r="E374" s="68"/>
      <c r="F374" s="70"/>
      <c r="G374" s="93"/>
    </row>
    <row r="375" spans="5:7">
      <c r="E375" s="68"/>
      <c r="F375" s="70"/>
      <c r="G375" s="93"/>
    </row>
    <row r="376" spans="5:7">
      <c r="E376" s="68"/>
      <c r="F376" s="70"/>
      <c r="G376" s="93"/>
    </row>
    <row r="377" spans="5:7">
      <c r="E377" s="68"/>
      <c r="F377" s="70"/>
      <c r="G377" s="93"/>
    </row>
    <row r="378" spans="5:7">
      <c r="E378" s="68"/>
      <c r="F378" s="70"/>
      <c r="G378" s="93"/>
    </row>
    <row r="379" spans="5:7">
      <c r="E379" s="68"/>
      <c r="F379" s="70"/>
      <c r="G379" s="93"/>
    </row>
    <row r="380" spans="5:7">
      <c r="E380" s="68"/>
      <c r="F380" s="70"/>
      <c r="G380" s="93"/>
    </row>
  </sheetData>
  <dataValidations disablePrompts="1" count="2">
    <dataValidation type="list" allowBlank="1" showInputMessage="1" showErrorMessage="1" sqref="E131 E141" xr:uid="{1E959FF6-D8FE-4BFE-A08D-296FDAE4D8BD}">
      <formula1>$E$127</formula1>
    </dataValidation>
    <dataValidation type="list" allowBlank="1" showInputMessage="1" showErrorMessage="1" sqref="E131 E141" xr:uid="{C364845B-CEE5-42A1-8E65-F4593F887C65}">
      <formula1>$J$46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3279-2D18-47E5-B97B-EF05F8874C95}">
  <sheetPr codeName="Лист1">
    <tabColor theme="7" tint="0.79998168889431442"/>
  </sheetPr>
  <dimension ref="B2:AM56"/>
  <sheetViews>
    <sheetView zoomScale="115" zoomScaleNormal="115" workbookViewId="0">
      <selection activeCell="D19" sqref="D19"/>
    </sheetView>
  </sheetViews>
  <sheetFormatPr defaultColWidth="8.85546875" defaultRowHeight="12.75"/>
  <cols>
    <col min="1" max="2" width="11" style="38" customWidth="1"/>
    <col min="3" max="3" width="21.5703125" style="38" customWidth="1"/>
    <col min="4" max="4" width="8.5703125" style="38" customWidth="1"/>
    <col min="5" max="5" width="9.42578125" style="38" customWidth="1"/>
    <col min="6" max="6" width="11" style="38" customWidth="1"/>
    <col min="7" max="28" width="9.140625" style="38" customWidth="1"/>
    <col min="29" max="29" width="11.42578125" style="38" customWidth="1"/>
    <col min="30" max="30" width="11.140625" style="38" customWidth="1"/>
    <col min="31" max="31" width="6.140625" style="38" customWidth="1"/>
    <col min="32" max="34" width="12.85546875" style="38" customWidth="1"/>
    <col min="35" max="35" width="14.42578125" style="38" customWidth="1"/>
    <col min="36" max="36" width="13.42578125" style="38" customWidth="1"/>
    <col min="37" max="37" width="12.85546875" style="22" bestFit="1" customWidth="1"/>
    <col min="38" max="38" width="12.5703125" style="38" bestFit="1" customWidth="1"/>
    <col min="39" max="39" width="6.28515625" style="38" bestFit="1" customWidth="1"/>
    <col min="40" max="43" width="11.7109375" style="38" customWidth="1"/>
    <col min="44" max="16384" width="8.85546875" style="38"/>
  </cols>
  <sheetData>
    <row r="2" spans="2:39"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2:39" ht="12.75" customHeight="1">
      <c r="E3" s="171" t="s">
        <v>275</v>
      </c>
      <c r="F3" s="171"/>
      <c r="G3" s="171" t="s">
        <v>98</v>
      </c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3" t="s">
        <v>99</v>
      </c>
      <c r="W3" s="174"/>
      <c r="X3" s="174"/>
      <c r="Y3" s="174"/>
      <c r="Z3" s="174"/>
      <c r="AA3" s="174"/>
      <c r="AB3" s="174"/>
      <c r="AC3" s="174"/>
      <c r="AD3" s="175"/>
      <c r="AE3" s="171" t="s">
        <v>6</v>
      </c>
      <c r="AF3" s="23"/>
      <c r="AG3" s="23"/>
      <c r="AH3" s="23"/>
      <c r="AI3" s="40"/>
      <c r="AJ3" s="40"/>
      <c r="AK3" s="38"/>
      <c r="AM3" s="22"/>
    </row>
    <row r="4" spans="2:39" ht="25.5">
      <c r="E4" s="171"/>
      <c r="F4" s="171"/>
      <c r="G4" s="41" t="s">
        <v>14</v>
      </c>
      <c r="H4" s="41" t="s">
        <v>14</v>
      </c>
      <c r="I4" s="42" t="s">
        <v>14</v>
      </c>
      <c r="J4" s="42" t="s">
        <v>14</v>
      </c>
      <c r="K4" s="43" t="s">
        <v>14</v>
      </c>
      <c r="L4" s="43" t="s">
        <v>14</v>
      </c>
      <c r="M4" s="43" t="s">
        <v>14</v>
      </c>
      <c r="N4" s="43" t="s">
        <v>14</v>
      </c>
      <c r="O4" s="43" t="s">
        <v>14</v>
      </c>
      <c r="P4" s="43" t="s">
        <v>57</v>
      </c>
      <c r="Q4" s="43" t="s">
        <v>57</v>
      </c>
      <c r="R4" s="44" t="s">
        <v>58</v>
      </c>
      <c r="S4" s="44" t="s">
        <v>58</v>
      </c>
      <c r="T4" s="44" t="s">
        <v>13</v>
      </c>
      <c r="U4" s="44" t="s">
        <v>13</v>
      </c>
      <c r="V4" s="45" t="s">
        <v>12</v>
      </c>
      <c r="W4" s="45" t="s">
        <v>12</v>
      </c>
      <c r="X4" s="45" t="s">
        <v>12</v>
      </c>
      <c r="Y4" s="45" t="s">
        <v>12</v>
      </c>
      <c r="Z4" s="46" t="s">
        <v>11</v>
      </c>
      <c r="AA4" s="47" t="s">
        <v>11</v>
      </c>
      <c r="AB4" s="47" t="s">
        <v>11</v>
      </c>
      <c r="AC4" s="48" t="s">
        <v>44</v>
      </c>
      <c r="AD4" s="48" t="s">
        <v>44</v>
      </c>
      <c r="AE4" s="171"/>
      <c r="AF4" s="143" t="s">
        <v>70</v>
      </c>
      <c r="AG4" s="143" t="s">
        <v>277</v>
      </c>
      <c r="AH4" s="143" t="s">
        <v>269</v>
      </c>
      <c r="AI4" s="23" t="s">
        <v>36</v>
      </c>
      <c r="AJ4" s="23" t="s">
        <v>36</v>
      </c>
      <c r="AK4" s="38"/>
      <c r="AM4" s="22"/>
    </row>
    <row r="5" spans="2:39" ht="25.5" customHeight="1">
      <c r="E5" s="171"/>
      <c r="F5" s="171"/>
      <c r="G5" s="41" t="s">
        <v>50</v>
      </c>
      <c r="H5" s="41" t="s">
        <v>50</v>
      </c>
      <c r="I5" s="42" t="s">
        <v>49</v>
      </c>
      <c r="J5" s="42" t="s">
        <v>49</v>
      </c>
      <c r="K5" s="43" t="s">
        <v>241</v>
      </c>
      <c r="L5" s="43" t="s">
        <v>51</v>
      </c>
      <c r="M5" s="43" t="s">
        <v>51</v>
      </c>
      <c r="N5" s="43" t="s">
        <v>10</v>
      </c>
      <c r="O5" s="43" t="s">
        <v>10</v>
      </c>
      <c r="P5" s="43" t="s">
        <v>10</v>
      </c>
      <c r="Q5" s="43" t="s">
        <v>10</v>
      </c>
      <c r="R5" s="44" t="s">
        <v>228</v>
      </c>
      <c r="S5" s="44" t="s">
        <v>228</v>
      </c>
      <c r="T5" s="44" t="s">
        <v>228</v>
      </c>
      <c r="U5" s="44" t="s">
        <v>228</v>
      </c>
      <c r="V5" s="45" t="s">
        <v>9</v>
      </c>
      <c r="W5" s="45" t="s">
        <v>9</v>
      </c>
      <c r="X5" s="45" t="s">
        <v>48</v>
      </c>
      <c r="Y5" s="45" t="s">
        <v>9</v>
      </c>
      <c r="Z5" s="46" t="s">
        <v>9</v>
      </c>
      <c r="AA5" s="47" t="s">
        <v>9</v>
      </c>
      <c r="AB5" s="47" t="s">
        <v>9</v>
      </c>
      <c r="AC5" s="48" t="s">
        <v>62</v>
      </c>
      <c r="AD5" s="48" t="s">
        <v>62</v>
      </c>
      <c r="AE5" s="171"/>
      <c r="AF5" s="23"/>
      <c r="AG5" s="23"/>
      <c r="AH5" s="23"/>
      <c r="AI5" s="23" t="s">
        <v>227</v>
      </c>
      <c r="AJ5" s="23" t="s">
        <v>37</v>
      </c>
      <c r="AK5" s="38"/>
      <c r="AM5" s="22"/>
    </row>
    <row r="6" spans="2:39" ht="15">
      <c r="E6" s="171"/>
      <c r="F6" s="171"/>
      <c r="G6" s="14" t="s">
        <v>41</v>
      </c>
      <c r="H6" s="14"/>
      <c r="I6" s="14" t="s">
        <v>41</v>
      </c>
      <c r="J6" s="14"/>
      <c r="K6" s="14" t="s">
        <v>41</v>
      </c>
      <c r="L6" s="14" t="s">
        <v>41</v>
      </c>
      <c r="M6" s="14"/>
      <c r="N6" s="14" t="s">
        <v>41</v>
      </c>
      <c r="O6" s="14"/>
      <c r="P6" s="156" t="s">
        <v>41</v>
      </c>
      <c r="Q6" s="14"/>
      <c r="R6" s="14" t="s">
        <v>41</v>
      </c>
      <c r="S6" s="14"/>
      <c r="T6" s="14" t="s">
        <v>41</v>
      </c>
      <c r="U6" s="14"/>
      <c r="V6" s="14" t="s">
        <v>41</v>
      </c>
      <c r="W6" s="23"/>
      <c r="X6" s="23"/>
      <c r="Y6" s="23"/>
      <c r="Z6" s="23"/>
      <c r="AA6" s="14" t="s">
        <v>41</v>
      </c>
      <c r="AB6" s="23"/>
      <c r="AC6" s="14" t="s">
        <v>41</v>
      </c>
      <c r="AD6" s="14"/>
      <c r="AE6" s="171"/>
      <c r="AF6" s="23"/>
      <c r="AG6" s="23"/>
      <c r="AH6" s="23"/>
      <c r="AI6" s="40"/>
      <c r="AJ6" s="40"/>
      <c r="AK6" s="38"/>
      <c r="AM6" s="22"/>
    </row>
    <row r="7" spans="2:39" ht="27" customHeight="1">
      <c r="E7" s="171"/>
      <c r="F7" s="171"/>
      <c r="G7" s="23" t="s">
        <v>39</v>
      </c>
      <c r="H7" s="23" t="s">
        <v>39</v>
      </c>
      <c r="I7" s="23" t="s">
        <v>39</v>
      </c>
      <c r="J7" s="23" t="s">
        <v>39</v>
      </c>
      <c r="K7" s="23" t="s">
        <v>8</v>
      </c>
      <c r="L7" s="23" t="s">
        <v>8</v>
      </c>
      <c r="M7" s="23" t="s">
        <v>8</v>
      </c>
      <c r="N7" s="23" t="s">
        <v>8</v>
      </c>
      <c r="O7" s="23" t="s">
        <v>8</v>
      </c>
      <c r="P7" s="23" t="s">
        <v>8</v>
      </c>
      <c r="Q7" s="23" t="s">
        <v>8</v>
      </c>
      <c r="R7" s="23" t="s">
        <v>8</v>
      </c>
      <c r="S7" s="23" t="s">
        <v>8</v>
      </c>
      <c r="T7" s="23" t="s">
        <v>8</v>
      </c>
      <c r="U7" s="23" t="s">
        <v>8</v>
      </c>
      <c r="V7" s="23" t="s">
        <v>7</v>
      </c>
      <c r="W7" s="23" t="s">
        <v>7</v>
      </c>
      <c r="X7" s="23" t="s">
        <v>7</v>
      </c>
      <c r="Y7" s="23" t="s">
        <v>43</v>
      </c>
      <c r="Z7" s="23" t="s">
        <v>43</v>
      </c>
      <c r="AA7" s="23" t="s">
        <v>7</v>
      </c>
      <c r="AB7" s="23" t="s">
        <v>7</v>
      </c>
      <c r="AC7" s="23" t="s">
        <v>8</v>
      </c>
      <c r="AD7" s="23" t="s">
        <v>8</v>
      </c>
      <c r="AE7" s="171"/>
      <c r="AF7" s="23" t="s">
        <v>226</v>
      </c>
      <c r="AG7" s="23" t="s">
        <v>226</v>
      </c>
      <c r="AH7" s="23" t="s">
        <v>226</v>
      </c>
      <c r="AI7" s="23" t="s">
        <v>226</v>
      </c>
      <c r="AJ7" s="23" t="s">
        <v>226</v>
      </c>
      <c r="AK7" s="38"/>
      <c r="AM7" s="22"/>
    </row>
    <row r="8" spans="2:39" ht="15">
      <c r="E8" s="17" t="s">
        <v>53</v>
      </c>
      <c r="F8" s="23"/>
      <c r="G8" s="49">
        <v>1</v>
      </c>
      <c r="H8" s="49">
        <v>2</v>
      </c>
      <c r="I8" s="49">
        <v>3</v>
      </c>
      <c r="J8" s="49">
        <v>4</v>
      </c>
      <c r="K8" s="49">
        <v>5</v>
      </c>
      <c r="L8" s="49">
        <v>6</v>
      </c>
      <c r="M8" s="49">
        <v>7</v>
      </c>
      <c r="N8" s="49">
        <v>8</v>
      </c>
      <c r="O8" s="49">
        <v>9</v>
      </c>
      <c r="P8" s="49">
        <v>10</v>
      </c>
      <c r="Q8" s="49">
        <v>11</v>
      </c>
      <c r="R8" s="49">
        <v>12</v>
      </c>
      <c r="S8" s="49">
        <v>13</v>
      </c>
      <c r="T8" s="49">
        <v>14</v>
      </c>
      <c r="U8" s="49">
        <v>15</v>
      </c>
      <c r="V8" s="49">
        <v>16</v>
      </c>
      <c r="W8" s="49">
        <v>17</v>
      </c>
      <c r="X8" s="49">
        <v>18</v>
      </c>
      <c r="Y8" s="49">
        <v>19</v>
      </c>
      <c r="Z8" s="49">
        <v>20</v>
      </c>
      <c r="AA8" s="49">
        <v>21</v>
      </c>
      <c r="AB8" s="49">
        <v>22</v>
      </c>
      <c r="AC8" s="49">
        <v>23</v>
      </c>
      <c r="AD8" s="49">
        <v>24</v>
      </c>
      <c r="AE8" s="30">
        <f>SUM(G8:AD8)</f>
        <v>300</v>
      </c>
      <c r="AF8" s="30"/>
      <c r="AG8" s="30"/>
      <c r="AH8" s="30"/>
      <c r="AI8" s="29"/>
      <c r="AJ8" s="29"/>
      <c r="AK8" s="38"/>
      <c r="AM8" s="22"/>
    </row>
    <row r="9" spans="2:39" ht="15">
      <c r="E9" s="16" t="s">
        <v>47</v>
      </c>
      <c r="F9" s="50">
        <v>0</v>
      </c>
      <c r="G9" s="29">
        <f t="shared" ref="G9:AJ9" si="0">ROUNDUP(G8*$F9,0)</f>
        <v>0</v>
      </c>
      <c r="H9" s="29">
        <f t="shared" si="0"/>
        <v>0</v>
      </c>
      <c r="I9" s="29">
        <f t="shared" si="0"/>
        <v>0</v>
      </c>
      <c r="J9" s="29">
        <f t="shared" si="0"/>
        <v>0</v>
      </c>
      <c r="K9" s="29">
        <f t="shared" si="0"/>
        <v>0</v>
      </c>
      <c r="L9" s="29">
        <f t="shared" si="0"/>
        <v>0</v>
      </c>
      <c r="M9" s="29">
        <f t="shared" si="0"/>
        <v>0</v>
      </c>
      <c r="N9" s="29">
        <f t="shared" si="0"/>
        <v>0</v>
      </c>
      <c r="O9" s="29">
        <f t="shared" si="0"/>
        <v>0</v>
      </c>
      <c r="P9" s="29">
        <f t="shared" si="0"/>
        <v>0</v>
      </c>
      <c r="Q9" s="29">
        <f t="shared" si="0"/>
        <v>0</v>
      </c>
      <c r="R9" s="29">
        <f t="shared" si="0"/>
        <v>0</v>
      </c>
      <c r="S9" s="29">
        <f t="shared" si="0"/>
        <v>0</v>
      </c>
      <c r="T9" s="29">
        <f t="shared" si="0"/>
        <v>0</v>
      </c>
      <c r="U9" s="29">
        <f t="shared" si="0"/>
        <v>0</v>
      </c>
      <c r="V9" s="29">
        <f t="shared" si="0"/>
        <v>0</v>
      </c>
      <c r="W9" s="29">
        <f t="shared" si="0"/>
        <v>0</v>
      </c>
      <c r="X9" s="29">
        <f t="shared" si="0"/>
        <v>0</v>
      </c>
      <c r="Y9" s="29">
        <f t="shared" si="0"/>
        <v>0</v>
      </c>
      <c r="Z9" s="29">
        <f t="shared" si="0"/>
        <v>0</v>
      </c>
      <c r="AA9" s="29">
        <f t="shared" si="0"/>
        <v>0</v>
      </c>
      <c r="AB9" s="29">
        <f t="shared" si="0"/>
        <v>0</v>
      </c>
      <c r="AC9" s="29">
        <f t="shared" si="0"/>
        <v>0</v>
      </c>
      <c r="AD9" s="29">
        <f t="shared" si="0"/>
        <v>0</v>
      </c>
      <c r="AE9" s="30">
        <f>SUM(G9:AD9)</f>
        <v>0</v>
      </c>
      <c r="AF9" s="29">
        <f t="shared" si="0"/>
        <v>0</v>
      </c>
      <c r="AG9" s="29">
        <f t="shared" si="0"/>
        <v>0</v>
      </c>
      <c r="AH9" s="29">
        <f t="shared" si="0"/>
        <v>0</v>
      </c>
      <c r="AI9" s="29">
        <f t="shared" si="0"/>
        <v>0</v>
      </c>
      <c r="AJ9" s="29">
        <f t="shared" si="0"/>
        <v>0</v>
      </c>
      <c r="AK9" s="38"/>
      <c r="AM9" s="22"/>
    </row>
    <row r="10" spans="2:39">
      <c r="E10" s="172" t="s">
        <v>21</v>
      </c>
      <c r="F10" s="172"/>
      <c r="G10" s="30">
        <f t="shared" ref="G10:AD10" si="1">IF(SUM(G8:G9)=0,"0",SUM(G8:G9))</f>
        <v>1</v>
      </c>
      <c r="H10" s="30">
        <f t="shared" si="1"/>
        <v>2</v>
      </c>
      <c r="I10" s="30">
        <f t="shared" si="1"/>
        <v>3</v>
      </c>
      <c r="J10" s="30">
        <f t="shared" si="1"/>
        <v>4</v>
      </c>
      <c r="K10" s="30">
        <f t="shared" ref="K10:AB10" si="2">IF(SUM(K8:K9)=0,"0",SUM(K8:K9))</f>
        <v>5</v>
      </c>
      <c r="L10" s="30">
        <f t="shared" si="2"/>
        <v>6</v>
      </c>
      <c r="M10" s="30">
        <f t="shared" si="2"/>
        <v>7</v>
      </c>
      <c r="N10" s="30">
        <f t="shared" si="2"/>
        <v>8</v>
      </c>
      <c r="O10" s="30">
        <f t="shared" si="2"/>
        <v>9</v>
      </c>
      <c r="P10" s="30">
        <f t="shared" si="2"/>
        <v>10</v>
      </c>
      <c r="Q10" s="30">
        <f t="shared" si="2"/>
        <v>11</v>
      </c>
      <c r="R10" s="30">
        <f t="shared" si="2"/>
        <v>12</v>
      </c>
      <c r="S10" s="30">
        <f t="shared" si="2"/>
        <v>13</v>
      </c>
      <c r="T10" s="30">
        <f t="shared" si="2"/>
        <v>14</v>
      </c>
      <c r="U10" s="30">
        <f t="shared" si="2"/>
        <v>15</v>
      </c>
      <c r="V10" s="30">
        <f t="shared" si="2"/>
        <v>16</v>
      </c>
      <c r="W10" s="30">
        <f t="shared" si="2"/>
        <v>17</v>
      </c>
      <c r="X10" s="30">
        <f t="shared" si="2"/>
        <v>18</v>
      </c>
      <c r="Y10" s="30">
        <f t="shared" si="2"/>
        <v>19</v>
      </c>
      <c r="Z10" s="30">
        <f t="shared" si="2"/>
        <v>20</v>
      </c>
      <c r="AA10" s="30">
        <f t="shared" si="2"/>
        <v>21</v>
      </c>
      <c r="AB10" s="30">
        <f t="shared" si="2"/>
        <v>22</v>
      </c>
      <c r="AC10" s="30">
        <f t="shared" si="1"/>
        <v>23</v>
      </c>
      <c r="AD10" s="30">
        <f t="shared" si="1"/>
        <v>24</v>
      </c>
      <c r="AE10" s="30">
        <f t="shared" ref="AE10:AJ10" si="3">IF(SUM(AE8:AE9)=0,"0",SUM(AE8:AE9))</f>
        <v>300</v>
      </c>
      <c r="AF10" s="30" t="str">
        <f t="shared" si="3"/>
        <v>0</v>
      </c>
      <c r="AG10" s="30" t="str">
        <f t="shared" ref="AG10:AH10" si="4">IF(SUM(AG8:AG9)=0,"0",SUM(AG8:AG9))</f>
        <v>0</v>
      </c>
      <c r="AH10" s="30" t="str">
        <f t="shared" si="4"/>
        <v>0</v>
      </c>
      <c r="AI10" s="30" t="str">
        <f>IF(SUM(AI8:AI9)=0,"0",SUM(AI8:AI9))</f>
        <v>0</v>
      </c>
      <c r="AJ10" s="30" t="str">
        <f t="shared" si="3"/>
        <v>0</v>
      </c>
      <c r="AK10" s="38"/>
      <c r="AM10" s="22"/>
    </row>
    <row r="11" spans="2:39">
      <c r="B11" s="170" t="str">
        <f>$E$3</f>
        <v>Шкаф</v>
      </c>
      <c r="C11" s="170"/>
      <c r="D11" s="170"/>
      <c r="E11" s="51"/>
      <c r="F11" s="51"/>
      <c r="G11" s="51"/>
      <c r="H11" s="51"/>
    </row>
    <row r="12" spans="2:39" ht="22.5">
      <c r="B12" s="31" t="s">
        <v>137</v>
      </c>
      <c r="C12" s="31" t="s">
        <v>156</v>
      </c>
      <c r="D12" s="78" t="s">
        <v>28</v>
      </c>
      <c r="E12" s="51"/>
      <c r="F12" s="51"/>
      <c r="G12" s="51"/>
      <c r="H12" s="51"/>
      <c r="K12" s="6"/>
    </row>
    <row r="13" spans="2:39">
      <c r="B13" s="158"/>
      <c r="C13" s="31" t="s">
        <v>245</v>
      </c>
      <c r="D13" s="78" t="s">
        <v>29</v>
      </c>
      <c r="E13" s="51"/>
      <c r="F13" s="51"/>
      <c r="G13" s="51"/>
      <c r="H13" s="51"/>
    </row>
    <row r="14" spans="2:39">
      <c r="B14" s="158"/>
      <c r="C14" s="31" t="s">
        <v>152</v>
      </c>
      <c r="D14" s="78">
        <v>1</v>
      </c>
      <c r="E14" s="51"/>
      <c r="F14" s="51"/>
      <c r="G14" s="51"/>
      <c r="H14" s="51"/>
    </row>
    <row r="15" spans="2:39">
      <c r="B15" s="158"/>
      <c r="C15" s="31" t="s">
        <v>153</v>
      </c>
      <c r="D15" s="78">
        <v>1</v>
      </c>
      <c r="E15" s="51"/>
      <c r="F15" s="51"/>
      <c r="G15" s="51"/>
      <c r="H15" s="51"/>
    </row>
    <row r="16" spans="2:39">
      <c r="B16" s="158"/>
      <c r="C16" s="31" t="s">
        <v>154</v>
      </c>
      <c r="D16" s="78">
        <v>1</v>
      </c>
      <c r="E16" s="51"/>
      <c r="F16" s="51"/>
      <c r="G16" s="51"/>
      <c r="H16" s="51"/>
    </row>
    <row r="17" spans="2:8">
      <c r="B17" s="158"/>
      <c r="C17" s="31" t="s">
        <v>155</v>
      </c>
      <c r="D17" s="78">
        <v>1</v>
      </c>
      <c r="E17" s="51"/>
      <c r="F17" s="51"/>
      <c r="G17" s="51"/>
      <c r="H17" s="51"/>
    </row>
    <row r="18" spans="2:8" ht="22.5">
      <c r="B18" s="158">
        <v>1800</v>
      </c>
      <c r="C18" s="31" t="s">
        <v>146</v>
      </c>
      <c r="D18" s="78">
        <v>4</v>
      </c>
      <c r="E18" s="51"/>
      <c r="F18" s="51"/>
      <c r="G18" s="51"/>
      <c r="H18" s="51"/>
    </row>
    <row r="19" spans="2:8" ht="22.5">
      <c r="B19" s="158"/>
      <c r="C19" s="81" t="s">
        <v>151</v>
      </c>
      <c r="D19" s="137">
        <v>0.2</v>
      </c>
      <c r="E19" s="51"/>
      <c r="F19" s="51"/>
      <c r="G19" s="51"/>
      <c r="H19" s="51"/>
    </row>
    <row r="20" spans="2:8" ht="22.5">
      <c r="B20" s="159"/>
      <c r="C20" s="87" t="s">
        <v>148</v>
      </c>
      <c r="D20" s="91">
        <v>0</v>
      </c>
      <c r="E20" s="51"/>
      <c r="F20" s="51"/>
      <c r="G20" s="51"/>
      <c r="H20" s="51"/>
    </row>
    <row r="21" spans="2:8" ht="10.5" customHeight="1">
      <c r="B21" s="158"/>
      <c r="C21" s="31" t="s">
        <v>147</v>
      </c>
      <c r="D21" s="78">
        <f>ROUNDUP((SUM(D26,D30:D33)*157+SUM(D28:D29)*164+SUM(D34:D37)*110+D27*35+D38*76+SUM(D49:D54)*13)*(1+D19)/(D18*1700),0)</f>
        <v>2</v>
      </c>
      <c r="E21" s="51"/>
      <c r="F21" s="51"/>
      <c r="G21" s="51"/>
      <c r="H21" s="51"/>
    </row>
    <row r="22" spans="2:8" ht="10.5" customHeight="1">
      <c r="B22" s="158"/>
      <c r="C22" s="31" t="s">
        <v>192</v>
      </c>
      <c r="D22" s="78">
        <f>D26*5.5+D33*1.5+SUM(D30:D32)*3+SUM(D28:D29)*2+D37*1.4+D36*3.3+SUM(D34:D35)*2+D27*3.4+D38*15+D49*0.07+D50*0.07+D51*0.571+D52*0.72+D53*1.8+D54*0.72+D47*1+D48*5</f>
        <v>333.89499999999998</v>
      </c>
      <c r="E22" s="51"/>
      <c r="F22" s="51"/>
      <c r="G22" s="51"/>
      <c r="H22" s="51"/>
    </row>
    <row r="23" spans="2:8">
      <c r="B23" s="32" t="s">
        <v>184</v>
      </c>
      <c r="C23" s="89" t="s">
        <v>172</v>
      </c>
      <c r="D23" s="79">
        <v>1</v>
      </c>
      <c r="E23" s="51"/>
      <c r="F23" s="51"/>
      <c r="G23" s="51"/>
      <c r="H23" s="51"/>
    </row>
    <row r="24" spans="2:8">
      <c r="B24" s="32" t="s">
        <v>185</v>
      </c>
      <c r="C24" s="89" t="s">
        <v>183</v>
      </c>
      <c r="D24" s="79">
        <v>1</v>
      </c>
      <c r="E24" s="51"/>
      <c r="F24" s="51"/>
      <c r="G24" s="51"/>
      <c r="H24" s="51"/>
    </row>
    <row r="25" spans="2:8">
      <c r="B25" s="32" t="s">
        <v>138</v>
      </c>
      <c r="C25" s="89" t="s">
        <v>189</v>
      </c>
      <c r="D25" s="79">
        <f>D26</f>
        <v>2</v>
      </c>
    </row>
    <row r="26" spans="2:8">
      <c r="B26" s="32" t="s">
        <v>3</v>
      </c>
      <c r="C26" s="33" t="s">
        <v>191</v>
      </c>
      <c r="D26" s="79">
        <f>IF(D12="Yes",2,1)*ROUNDUP(SUM(AE10)/VLOOKUP(C26,Service!$E$79:$F$79,2,0),0)</f>
        <v>2</v>
      </c>
    </row>
    <row r="27" spans="2:8">
      <c r="B27" s="32" t="s">
        <v>52</v>
      </c>
      <c r="C27" s="32" t="s">
        <v>212</v>
      </c>
      <c r="D27" s="79">
        <f>ROUNDUP(D20*SUM(L10:Q10)/4,0)</f>
        <v>0</v>
      </c>
    </row>
    <row r="28" spans="2:8" ht="22.5">
      <c r="B28" s="32" t="s">
        <v>144</v>
      </c>
      <c r="C28" s="34" t="s">
        <v>200</v>
      </c>
      <c r="D28" s="79">
        <f>MAX(0,ROUNDUP((SUM($G$10:$H$10)+SUM($I$10:$J$10)*2-D29*VLOOKUP(C29,Service!E11:F13,2,0)/D14)/VLOOKUP(C28,Service!$E$2:$F$4,2,FALSE),0)*D14)</f>
        <v>0</v>
      </c>
    </row>
    <row r="29" spans="2:8" ht="33.75">
      <c r="B29" s="32" t="s">
        <v>190</v>
      </c>
      <c r="C29" s="34" t="s">
        <v>201</v>
      </c>
      <c r="D29" s="79">
        <f>MAX(MIN(
                           ROUNDUP((SUM($G$10:$H$10)+SUM($I$10:$J$10)*2)/VLOOKUP(C29,Service!E11:F13,2,0),0)*D14,
             ROUNDUP((SUM($R$10:$U$10)/VLOOKUP(C31,Service!E20:F22,2,FALSE)-D31)*D15,0)
                           ),0)</f>
        <v>1</v>
      </c>
      <c r="G29" s="6"/>
    </row>
    <row r="30" spans="2:8">
      <c r="B30" s="32" t="s">
        <v>145</v>
      </c>
      <c r="C30" s="34" t="s">
        <v>195</v>
      </c>
      <c r="D30" s="79">
        <f>MAX(IFERROR(ROUNDUP((SUM(L10:M10)-D31*VLOOKUP(C31,Service!$E$17:$F$19,2,0)/D14)/VLOOKUP(C30,Service!$E$8:$F$10,2,0), 0),0),
ROUNDUP((SUM(K10:Q10)-D31*VLOOKUP(C31,Service!$E$14:$F$16,2,0)/D14)/VLOOKUP(C30,Service!$E$5:$F$7,2,0),0),0)*D14</f>
        <v>0</v>
      </c>
    </row>
    <row r="31" spans="2:8" ht="22.5">
      <c r="B31" s="32" t="s">
        <v>149</v>
      </c>
      <c r="C31" s="34" t="s">
        <v>197</v>
      </c>
      <c r="D31" s="79">
        <f>MIN(
             MAX(
                          D14*IFERROR(ROUNDUP(SUM(L10:M10)/VLOOKUP(C31,Service!E17:F19,2,0), 0),0),
                          D14*ROUNDUP(SUM(K10:Q10)/VLOOKUP(C31,Service!E14:F16,2,0), 0),
                         0),
             D15*ROUNDUP(SUM($R$10:$U$10)/VLOOKUP(C31,Service!$E$20:$F$22,2,FALSE),0))</f>
        <v>4</v>
      </c>
    </row>
    <row r="32" spans="2:8">
      <c r="B32" s="80" t="s">
        <v>34</v>
      </c>
      <c r="C32" s="35" t="s">
        <v>199</v>
      </c>
      <c r="D32" s="79">
        <f>ROUNDUP(SUM($R$10:$U$10)/VLOOKUP(C31,Service!E20:F22,2,FALSE),0)*D15-D31-D29</f>
        <v>22</v>
      </c>
    </row>
    <row r="33" spans="2:37" ht="18.75" customHeight="1">
      <c r="B33" s="32" t="s">
        <v>31</v>
      </c>
      <c r="C33" s="34" t="s">
        <v>193</v>
      </c>
      <c r="D33" s="79">
        <f>ROUNDUP(MAX(0,D34+D35-4*D26/IF(D12="Yes",2,1))/VLOOKUP(C33,Service!E29:F30,2,0)
                               +MAX(0,D36+D37-4*D26/IF(D12="Yes",2,1))/VLOOKUP(C33,Service!E29:F30,2,0),0)</f>
        <v>3</v>
      </c>
    </row>
    <row r="34" spans="2:37" ht="13.5" customHeight="1">
      <c r="B34" s="32" t="s">
        <v>132</v>
      </c>
      <c r="C34" s="34" t="s">
        <v>124</v>
      </c>
      <c r="D34" s="79">
        <f>D16*ROUNDUP(SUM(Y10)/8,0)</f>
        <v>3</v>
      </c>
    </row>
    <row r="35" spans="2:37" ht="12.75" customHeight="1">
      <c r="B35" s="32" t="s">
        <v>133</v>
      </c>
      <c r="C35" s="34" t="s">
        <v>128</v>
      </c>
      <c r="D35" s="79">
        <f>D16*ROUNDUP(SUM(V10:X10,X10,AC10:AD10)/8,0)</f>
        <v>15</v>
      </c>
    </row>
    <row r="36" spans="2:37" ht="12.75" customHeight="1">
      <c r="B36" s="32" t="s">
        <v>141</v>
      </c>
      <c r="C36" s="34" t="s">
        <v>136</v>
      </c>
      <c r="D36" s="79">
        <f>D17*ROUNDUP(SUM(Z10)/8,0)</f>
        <v>3</v>
      </c>
    </row>
    <row r="37" spans="2:37">
      <c r="B37" s="32" t="s">
        <v>134</v>
      </c>
      <c r="C37" s="34" t="s">
        <v>135</v>
      </c>
      <c r="D37" s="79">
        <f>D17*ROUNDUP(SUM(AA10:AB10)/8,0)</f>
        <v>6</v>
      </c>
    </row>
    <row r="38" spans="2:37">
      <c r="B38" s="32" t="str">
        <f>Service!$D$56</f>
        <v>Ethernet</v>
      </c>
      <c r="C38" s="34" t="s">
        <v>274</v>
      </c>
      <c r="D38" s="79">
        <f>ROUNDUP(($AF$10)/VLOOKUP(C38,Service!$E$56:$F$59,2,FALSE),0)</f>
        <v>0</v>
      </c>
    </row>
    <row r="39" spans="2:37">
      <c r="B39" s="32" t="str">
        <f>Service!D60</f>
        <v>Profibus DP</v>
      </c>
      <c r="C39" s="34" t="s">
        <v>270</v>
      </c>
      <c r="D39" s="79">
        <f>ROUNDUP(($AG$10)/VLOOKUP(C39,Service!E60:F62,2,FALSE),0)</f>
        <v>0</v>
      </c>
    </row>
    <row r="40" spans="2:37" ht="22.5">
      <c r="B40" s="32" t="str">
        <f>Service!D63</f>
        <v>Foundation Fieldbus</v>
      </c>
      <c r="C40" s="34" t="s">
        <v>271</v>
      </c>
      <c r="D40" s="79">
        <f>ROUNDUP(($AH$10)/VLOOKUP(C40,Service!E63:F65,2,FALSE),0)</f>
        <v>0</v>
      </c>
    </row>
    <row r="41" spans="2:37">
      <c r="B41" s="32" t="s">
        <v>121</v>
      </c>
      <c r="C41" s="36" t="s">
        <v>115</v>
      </c>
      <c r="D41" s="79">
        <f>D26</f>
        <v>2</v>
      </c>
    </row>
    <row r="42" spans="2:37">
      <c r="B42" s="32" t="s">
        <v>122</v>
      </c>
      <c r="C42" s="36" t="s">
        <v>108</v>
      </c>
      <c r="D42" s="79">
        <f>D26*2+D33*IF(C33="АРКС400.DIO.32.CLD",2,4)</f>
        <v>16</v>
      </c>
    </row>
    <row r="43" spans="2:37">
      <c r="B43" s="32" t="s">
        <v>123</v>
      </c>
      <c r="C43" s="36" t="s">
        <v>109</v>
      </c>
      <c r="D43" s="79">
        <f>D26*3+D35+D37+D36+D34</f>
        <v>33</v>
      </c>
      <c r="AK43" s="38"/>
    </row>
    <row r="44" spans="2:37">
      <c r="B44" s="32" t="s">
        <v>5</v>
      </c>
      <c r="C44" s="36" t="s">
        <v>110</v>
      </c>
      <c r="D44" s="79">
        <f>ROUNDUP(SUM(D34:D37)*2/30,0)*30</f>
        <v>60</v>
      </c>
    </row>
    <row r="45" spans="2:37">
      <c r="B45" s="32" t="s">
        <v>4</v>
      </c>
      <c r="C45" s="36" t="s">
        <v>207</v>
      </c>
      <c r="D45" s="79">
        <f>2*(D26+(D21-D26/IF(D12="Yes",2,1)))</f>
        <v>6</v>
      </c>
    </row>
    <row r="46" spans="2:37">
      <c r="B46" s="32" t="s">
        <v>55</v>
      </c>
      <c r="C46" s="36" t="s">
        <v>106</v>
      </c>
      <c r="D46" s="79">
        <f>D45/2</f>
        <v>3</v>
      </c>
    </row>
    <row r="47" spans="2:37" ht="33.75">
      <c r="B47" s="77" t="s">
        <v>75</v>
      </c>
      <c r="C47" s="37" t="s">
        <v>248</v>
      </c>
      <c r="D47" s="79">
        <f>ROUNDUP($P$10/VLOOKUP(C47,Service!$E$131:$F$140,2,0),0)+ROUNDUP($Q$10/VLOOKUP(C47,Service!$E$131:$F$140,2,0),0)+ROUNDUP(R10/VLOOKUP(C47,Service!$E$131:$F$140,2,0),0)+ROUNDUP(S10/VLOOKUP(C47,Service!$E$131:$F$140,2,0),0)</f>
        <v>4</v>
      </c>
    </row>
    <row r="48" spans="2:37" ht="31.5" customHeight="1">
      <c r="B48" s="77" t="s">
        <v>224</v>
      </c>
      <c r="C48" s="37" t="s">
        <v>273</v>
      </c>
      <c r="D48" s="79">
        <f>ROUNDUP(($D$47)/VLOOKUP(C48,Service!$E$141:$F$150,2,0),0)</f>
        <v>4</v>
      </c>
    </row>
    <row r="49" spans="2:4">
      <c r="B49" s="37" t="s">
        <v>50</v>
      </c>
      <c r="C49" s="128" t="s">
        <v>249</v>
      </c>
      <c r="D49" s="79">
        <f>ROUNDUP($G$10/VLOOKUP(C49,Service!$E$151:$F$162,2,0),0)</f>
        <v>1</v>
      </c>
    </row>
    <row r="50" spans="2:4">
      <c r="B50" s="37" t="s">
        <v>49</v>
      </c>
      <c r="C50" s="128" t="s">
        <v>252</v>
      </c>
      <c r="D50" s="79">
        <f>ROUNDUP($I$10/VLOOKUP(C50,Service!$E$163:$F$174,2,0),0)</f>
        <v>3</v>
      </c>
    </row>
    <row r="51" spans="2:4">
      <c r="B51" s="37" t="s">
        <v>242</v>
      </c>
      <c r="C51" s="128" t="s">
        <v>250</v>
      </c>
      <c r="D51" s="79">
        <f>ROUNDUP(SUM(K10)/VLOOKUP(C51,Service!$E$175:$F$186,2,0),0)</f>
        <v>5</v>
      </c>
    </row>
    <row r="52" spans="2:4">
      <c r="B52" s="37" t="s">
        <v>71</v>
      </c>
      <c r="C52" s="128" t="s">
        <v>262</v>
      </c>
      <c r="D52" s="79">
        <f>ROUNDUP(SUM(L10,N10,P10,R10,T10)/VLOOKUP(C52,Service!$E$187:$F$198,2,0),0)</f>
        <v>50</v>
      </c>
    </row>
    <row r="53" spans="2:4">
      <c r="B53" s="37" t="s">
        <v>72</v>
      </c>
      <c r="C53" s="128" t="s">
        <v>256</v>
      </c>
      <c r="D53" s="79">
        <f>ROUNDUP(SUM(V10,AA10,AC10)/VLOOKUP(C53,Service!$E$199:$F$209,2,0),0)</f>
        <v>60</v>
      </c>
    </row>
    <row r="54" spans="2:4" ht="14.25" customHeight="1">
      <c r="B54" s="37" t="s">
        <v>48</v>
      </c>
      <c r="C54" s="128" t="s">
        <v>256</v>
      </c>
      <c r="D54" s="79">
        <f>ROUNDUP(($X$10)/VLOOKUP(C54,Service!E210:F220,2,0),0)</f>
        <v>18</v>
      </c>
    </row>
    <row r="55" spans="2:4">
      <c r="B55" s="37" t="s">
        <v>73</v>
      </c>
      <c r="C55" s="128" t="s">
        <v>254</v>
      </c>
      <c r="D55" s="79">
        <f>ROUNDUP($AC$10/VLOOKUP(C55,Service!$E$221:$F$229,2,0),0)</f>
        <v>23</v>
      </c>
    </row>
    <row r="56" spans="2:4">
      <c r="C56" s="36" t="s">
        <v>225</v>
      </c>
      <c r="D56" s="79">
        <v>1</v>
      </c>
    </row>
  </sheetData>
  <mergeCells count="6">
    <mergeCell ref="B11:D11"/>
    <mergeCell ref="E3:F7"/>
    <mergeCell ref="AE3:AE7"/>
    <mergeCell ref="E10:F10"/>
    <mergeCell ref="G3:U3"/>
    <mergeCell ref="V3:AD3"/>
  </mergeCells>
  <dataValidations count="3">
    <dataValidation type="list" allowBlank="1" showInputMessage="1" showErrorMessage="1" sqref="D14:D17" xr:uid="{2F985C72-7F9D-4290-8D0C-51CF752B2E3D}">
      <formula1>"1,2,3"</formula1>
    </dataValidation>
    <dataValidation type="whole" allowBlank="1" showInputMessage="1" showErrorMessage="1" sqref="D18" xr:uid="{2B390490-DBE9-4858-B2D8-67FD115B350A}">
      <formula1>1</formula1>
      <formula2>10</formula2>
    </dataValidation>
    <dataValidation type="list" allowBlank="1" showInputMessage="1" showErrorMessage="1" sqref="C46" xr:uid="{0C1B86B4-8B2B-454F-8A2F-A8B1FA6E1D17}">
      <formula1>$J$48</formula1>
    </dataValidation>
  </dataValidations>
  <pageMargins left="0.7" right="0.7" top="0.75" bottom="0.75" header="0.3" footer="0.3"/>
  <pageSetup paperSize="9" scale="35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0]!HideMod">
                <anchor moveWithCells="1" sizeWithCells="1">
                  <from>
                    <xdr:col>1</xdr:col>
                    <xdr:colOff>104775</xdr:colOff>
                    <xdr:row>3</xdr:row>
                    <xdr:rowOff>19050</xdr:rowOff>
                  </from>
                  <to>
                    <xdr:col>3</xdr:col>
                    <xdr:colOff>314325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Button 4">
              <controlPr defaultSize="0" print="0" autoFill="0" autoPict="0" macro="[0]!ShowModules">
                <anchor moveWithCells="1" sizeWithCells="1">
                  <from>
                    <xdr:col>1</xdr:col>
                    <xdr:colOff>95250</xdr:colOff>
                    <xdr:row>4</xdr:row>
                    <xdr:rowOff>257175</xdr:rowOff>
                  </from>
                  <to>
                    <xdr:col>3</xdr:col>
                    <xdr:colOff>314325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6" name="Button 9">
              <controlPr defaultSize="0" print="0" autoFill="0" autoPict="0" macro="[0]!СоздатьКонфигуратор">
                <anchor moveWithCells="1" sizeWithCells="1">
                  <from>
                    <xdr:col>1</xdr:col>
                    <xdr:colOff>85725</xdr:colOff>
                    <xdr:row>6</xdr:row>
                    <xdr:rowOff>333375</xdr:rowOff>
                  </from>
                  <to>
                    <xdr:col>3</xdr:col>
                    <xdr:colOff>295275</xdr:colOff>
                    <xdr:row>8</xdr:row>
                    <xdr:rowOff>142875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7D086CBB-383E-4591-BF48-E5E52B363554}">
          <x14:formula1>
            <xm:f>Service!$B$3:$B$4</xm:f>
          </x14:formula1>
          <xm:sqref>D12:D13</xm:sqref>
        </x14:dataValidation>
        <x14:dataValidation type="list" allowBlank="1" showInputMessage="1" showErrorMessage="1" xr:uid="{B41C784C-0BE7-417D-80E8-EE015DD3A36C}">
          <x14:formula1>
            <xm:f>Service!$E$29:$E$30</xm:f>
          </x14:formula1>
          <xm:sqref>C33</xm:sqref>
        </x14:dataValidation>
        <x14:dataValidation type="list" allowBlank="1" showInputMessage="1" showErrorMessage="1" xr:uid="{A844DA21-30FD-4F35-9D99-D72189D678B5}">
          <x14:formula1>
            <xm:f>Service!$E$51</xm:f>
          </x14:formula1>
          <xm:sqref>C44</xm:sqref>
        </x14:dataValidation>
        <x14:dataValidation type="list" allowBlank="1" showInputMessage="1" showErrorMessage="1" xr:uid="{5E901D4D-B64F-4D0A-B30D-A78586249727}">
          <x14:formula1>
            <xm:f>Service!$E$56:$E$59</xm:f>
          </x14:formula1>
          <xm:sqref>C38</xm:sqref>
        </x14:dataValidation>
        <x14:dataValidation type="list" allowBlank="1" showInputMessage="1" showErrorMessage="1" xr:uid="{B977F02A-1AF9-47BB-BD10-C362F54A0946}">
          <x14:formula1>
            <xm:f>Service!$E$20:$E$22</xm:f>
          </x14:formula1>
          <xm:sqref>C31</xm:sqref>
        </x14:dataValidation>
        <x14:dataValidation type="list" allowBlank="1" showInputMessage="1" showErrorMessage="1" xr:uid="{44FAA156-62D3-4C8F-ABE8-DF64014AB387}">
          <x14:formula1>
            <xm:f>Service!$E$2:$E$4</xm:f>
          </x14:formula1>
          <xm:sqref>C28</xm:sqref>
        </x14:dataValidation>
        <x14:dataValidation type="list" allowBlank="1" showInputMessage="1" showErrorMessage="1" xr:uid="{79DEEB14-D798-47CF-A171-FCBFAFA34AE6}">
          <x14:formula1>
            <xm:f>Service!$E$41:$E$42</xm:f>
          </x14:formula1>
          <xm:sqref>C35</xm:sqref>
        </x14:dataValidation>
        <x14:dataValidation type="list" allowBlank="1" showInputMessage="1" showErrorMessage="1" xr:uid="{F0570913-6250-4875-A979-D4C6036C5F72}">
          <x14:formula1>
            <xm:f>Service!$E$39:$E$40</xm:f>
          </x14:formula1>
          <xm:sqref>C34</xm:sqref>
        </x14:dataValidation>
        <x14:dataValidation type="list" allowBlank="1" showInputMessage="1" showErrorMessage="1" xr:uid="{7FB10D99-EB12-4B35-80CE-F16C9BCF6CED}">
          <x14:formula1>
            <xm:f>Service!$E$43:$E$44</xm:f>
          </x14:formula1>
          <xm:sqref>C36:C37</xm:sqref>
        </x14:dataValidation>
        <x14:dataValidation type="list" allowBlank="1" showInputMessage="1" showErrorMessage="1" xr:uid="{5E83DA19-0986-428F-A2C0-D108DEEF6676}">
          <x14:formula1>
            <xm:f>Service!$E$23:$E$24</xm:f>
          </x14:formula1>
          <xm:sqref>C32</xm:sqref>
        </x14:dataValidation>
        <x14:dataValidation type="list" allowBlank="1" showInputMessage="1" showErrorMessage="1" xr:uid="{5E03686C-02A4-4341-8F83-095708152582}">
          <x14:formula1>
            <xm:f>Service!$E$25:$E$27</xm:f>
          </x14:formula1>
          <xm:sqref>C29</xm:sqref>
        </x14:dataValidation>
        <x14:dataValidation type="list" allowBlank="1" showInputMessage="1" showErrorMessage="1" xr:uid="{1C03C7A6-59B3-47F6-A424-4C86F24348CF}">
          <x14:formula1>
            <xm:f>Service!$E$5:$E$7</xm:f>
          </x14:formula1>
          <xm:sqref>C30</xm:sqref>
        </x14:dataValidation>
        <x14:dataValidation type="list" allowBlank="1" showInputMessage="1" showErrorMessage="1" xr:uid="{012F91DD-C352-46CB-80A0-6A0E2263FA94}">
          <x14:formula1>
            <xm:f>Service!$E$94:$E$98</xm:f>
          </x14:formula1>
          <xm:sqref>C24</xm:sqref>
        </x14:dataValidation>
        <x14:dataValidation type="list" allowBlank="1" showInputMessage="1" showErrorMessage="1" xr:uid="{274CAB3F-02A4-4AB9-96A8-7645BC5031FA}">
          <x14:formula1>
            <xm:f>Service!$E$111:$E$113</xm:f>
          </x14:formula1>
          <xm:sqref>C41:C43</xm:sqref>
        </x14:dataValidation>
        <x14:dataValidation type="list" allowBlank="1" showInputMessage="1" showErrorMessage="1" xr:uid="{012D7F07-2EEA-4AFF-98F6-5EB6EC9D48FE}">
          <x14:formula1>
            <xm:f>Service!$E$123</xm:f>
          </x14:formula1>
          <xm:sqref>C27</xm:sqref>
        </x14:dataValidation>
        <x14:dataValidation type="list" allowBlank="1" showInputMessage="1" showErrorMessage="1" xr:uid="{C148D63E-FA68-469D-AFA4-295C52F68667}">
          <x14:formula1>
            <xm:f>Service!$E$127</xm:f>
          </x14:formula1>
          <xm:sqref>C46</xm:sqref>
        </x14:dataValidation>
        <x14:dataValidation type="list" allowBlank="1" showInputMessage="1" showErrorMessage="1" xr:uid="{0FD9E08B-80AC-4316-9036-D5C4B8CC55D9}">
          <x14:formula1>
            <xm:f>Service!$E$79</xm:f>
          </x14:formula1>
          <xm:sqref>C26</xm:sqref>
        </x14:dataValidation>
        <x14:dataValidation type="list" allowBlank="1" showInputMessage="1" showErrorMessage="1" xr:uid="{7D0CED45-DA37-4670-B965-6455EC18286A}">
          <x14:formula1>
            <xm:f>Service!$E$151:$E$152</xm:f>
          </x14:formula1>
          <xm:sqref>C49</xm:sqref>
        </x14:dataValidation>
        <x14:dataValidation type="list" allowBlank="1" showInputMessage="1" showErrorMessage="1" xr:uid="{570A7F31-CBDE-42EF-A648-0C18865D9CD6}">
          <x14:formula1>
            <xm:f>Service!$E$163</xm:f>
          </x14:formula1>
          <xm:sqref>C50</xm:sqref>
        </x14:dataValidation>
        <x14:dataValidation type="list" allowBlank="1" showInputMessage="1" showErrorMessage="1" xr:uid="{5432D91D-E7D1-485F-8FAA-D0D348BDAE0E}">
          <x14:formula1>
            <xm:f>Service!$E$175:$E$177</xm:f>
          </x14:formula1>
          <xm:sqref>C51</xm:sqref>
        </x14:dataValidation>
        <x14:dataValidation type="list" allowBlank="1" showInputMessage="1" showErrorMessage="1" xr:uid="{6446CCA5-E7EC-484D-B2DA-9630C27070A1}">
          <x14:formula1>
            <xm:f>Service!$E$187:$E$189</xm:f>
          </x14:formula1>
          <xm:sqref>C52</xm:sqref>
        </x14:dataValidation>
        <x14:dataValidation type="list" allowBlank="1" showInputMessage="1" showErrorMessage="1" xr:uid="{DB420C55-8B63-4A15-A90A-D69529A141C4}">
          <x14:formula1>
            <xm:f>Service!$E$199:$E$201</xm:f>
          </x14:formula1>
          <xm:sqref>C53</xm:sqref>
        </x14:dataValidation>
        <x14:dataValidation type="list" allowBlank="1" showInputMessage="1" showErrorMessage="1" xr:uid="{EB691635-3791-4B7E-AE15-9B4B07BB872C}">
          <x14:formula1>
            <xm:f>Service!$E$210:$E$216</xm:f>
          </x14:formula1>
          <xm:sqref>C54</xm:sqref>
        </x14:dataValidation>
        <x14:dataValidation type="list" allowBlank="1" showInputMessage="1" showErrorMessage="1" xr:uid="{C4FFEE70-0889-47A3-8B32-483D174C5931}">
          <x14:formula1>
            <xm:f>Service!$E$221:$E$222</xm:f>
          </x14:formula1>
          <xm:sqref>C55</xm:sqref>
        </x14:dataValidation>
        <x14:dataValidation type="list" allowBlank="1" showInputMessage="1" showErrorMessage="1" xr:uid="{8B9E8B91-71B3-4C9F-89E0-FBB8949FD5D2}">
          <x14:formula1>
            <xm:f>Service!$E$60:$E$62</xm:f>
          </x14:formula1>
          <xm:sqref>C39</xm:sqref>
        </x14:dataValidation>
        <x14:dataValidation type="list" allowBlank="1" showInputMessage="1" showErrorMessage="1" xr:uid="{580CC017-5D5E-4777-A87D-F513948C2F9B}">
          <x14:formula1>
            <xm:f>Service!$E$63:$E$65</xm:f>
          </x14:formula1>
          <xm:sqref>C40</xm:sqref>
        </x14:dataValidation>
        <x14:dataValidation type="list" allowBlank="1" showInputMessage="1" showErrorMessage="1" xr:uid="{32E28310-82DA-406C-87A9-7C33B540FA2E}">
          <x14:formula1>
            <xm:f>Service!$E$68:$E$72</xm:f>
          </x14:formula1>
          <xm:sqref>C23</xm:sqref>
        </x14:dataValidation>
        <x14:dataValidation type="list" allowBlank="1" showInputMessage="1" showErrorMessage="1" xr:uid="{9EB7B132-699C-4B68-B09F-A41B6B9B4955}">
          <x14:formula1>
            <xm:f>Service!$E$73:$E$78</xm:f>
          </x14:formula1>
          <xm:sqref>C45</xm:sqref>
        </x14:dataValidation>
        <x14:dataValidation type="list" allowBlank="1" showInputMessage="1" showErrorMessage="1" xr:uid="{40D638DF-1050-4D5B-BDB6-4CDE32D04B03}">
          <x14:formula1>
            <xm:f>Service!$E$131:$E$132</xm:f>
          </x14:formula1>
          <xm:sqref>C47</xm:sqref>
        </x14:dataValidation>
        <x14:dataValidation type="list" allowBlank="1" showInputMessage="1" showErrorMessage="1" xr:uid="{03797BFC-CC63-42F0-94B4-8839B46D5074}">
          <x14:formula1>
            <xm:f>Service!$E$141:$E$142</xm:f>
          </x14:formula1>
          <xm:sqref>C48</xm:sqref>
        </x14:dataValidation>
        <x14:dataValidation type="list" allowBlank="1" showInputMessage="1" showErrorMessage="1" xr:uid="{4EE7A237-3B59-48D6-B5C1-0BF41F1AD7C8}">
          <x14:formula1>
            <xm:f>Service!$E$80:$E$92</xm:f>
          </x14:formula1>
          <xm:sqref>C25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E9C8-2938-42E6-B669-C38EB366FFF9}">
  <sheetPr codeName="Лист5"/>
  <dimension ref="E1:DP42"/>
  <sheetViews>
    <sheetView topLeftCell="A20" zoomScale="130" zoomScaleNormal="130" workbookViewId="0">
      <selection activeCell="E44" sqref="E44"/>
    </sheetView>
  </sheetViews>
  <sheetFormatPr defaultColWidth="9.140625" defaultRowHeight="12.75"/>
  <cols>
    <col min="1" max="4" width="9.140625" style="2"/>
    <col min="5" max="6" width="1.140625" style="2" customWidth="1"/>
    <col min="7" max="7" width="9.42578125" style="2" customWidth="1"/>
    <col min="8" max="8" width="5.7109375" style="2" customWidth="1"/>
    <col min="9" max="9" width="1.28515625" style="2" customWidth="1"/>
    <col min="10" max="10" width="9.42578125" style="3" customWidth="1"/>
    <col min="11" max="11" width="5.7109375" style="3" customWidth="1"/>
    <col min="12" max="12" width="1.42578125" style="3" customWidth="1"/>
    <col min="13" max="13" width="9.42578125" style="3" customWidth="1"/>
    <col min="14" max="14" width="5.7109375" style="3" customWidth="1"/>
    <col min="15" max="15" width="1.28515625" style="3" customWidth="1"/>
    <col min="16" max="16" width="9.42578125" style="3" customWidth="1"/>
    <col min="17" max="17" width="5" style="3" customWidth="1"/>
    <col min="18" max="18" width="2.85546875" style="3" customWidth="1"/>
    <col min="19" max="20" width="1.140625" style="3" customWidth="1"/>
    <col min="21" max="21" width="9.42578125" style="3" customWidth="1"/>
    <col min="22" max="22" width="5.7109375" style="3" customWidth="1"/>
    <col min="23" max="23" width="1.42578125" style="3" customWidth="1"/>
    <col min="24" max="24" width="9.42578125" style="3" customWidth="1"/>
    <col min="25" max="25" width="5.7109375" style="3" customWidth="1"/>
    <col min="26" max="26" width="1.42578125" style="3" customWidth="1"/>
    <col min="27" max="27" width="9.42578125" style="3" customWidth="1"/>
    <col min="28" max="28" width="5.7109375" style="3" customWidth="1"/>
    <col min="29" max="29" width="1.42578125" style="3" customWidth="1"/>
    <col min="30" max="30" width="9.42578125" style="3" customWidth="1"/>
    <col min="31" max="31" width="5.7109375" style="3" customWidth="1"/>
    <col min="32" max="32" width="1.42578125" style="3" customWidth="1"/>
    <col min="33" max="33" width="9.42578125" style="3" customWidth="1"/>
    <col min="34" max="34" width="5.7109375" style="3" customWidth="1"/>
    <col min="35" max="35" width="1.42578125" style="3" customWidth="1"/>
    <col min="36" max="36" width="13.7109375" style="3" customWidth="1"/>
    <col min="37" max="37" width="5.7109375" style="3" customWidth="1"/>
    <col min="38" max="38" width="1.42578125" style="3" customWidth="1"/>
    <col min="39" max="39" width="14.28515625" style="3" customWidth="1"/>
    <col min="40" max="40" width="5.7109375" style="3" customWidth="1"/>
    <col min="41" max="41" width="2.85546875" style="3" customWidth="1"/>
    <col min="42" max="42" width="1" style="3" customWidth="1"/>
    <col min="43" max="43" width="14.28515625" style="3" customWidth="1"/>
    <col min="44" max="44" width="11" style="3" customWidth="1"/>
    <col min="45" max="46" width="1.140625" style="3" customWidth="1"/>
    <col min="47" max="47" width="13.7109375" style="3" customWidth="1"/>
    <col min="48" max="48" width="5.5703125" style="3" customWidth="1"/>
    <col min="49" max="49" width="1.28515625" style="3" customWidth="1"/>
    <col min="50" max="50" width="13.7109375" style="3" customWidth="1"/>
    <col min="51" max="51" width="5.7109375" style="3" customWidth="1"/>
    <col min="52" max="52" width="1.28515625" style="3" customWidth="1"/>
    <col min="53" max="53" width="10.85546875" style="3" customWidth="1"/>
    <col min="54" max="54" width="5.7109375" style="3" customWidth="1"/>
    <col min="55" max="55" width="1.28515625" style="3" customWidth="1"/>
    <col min="56" max="56" width="9.42578125" style="3" customWidth="1"/>
    <col min="57" max="57" width="5.7109375" style="3" customWidth="1"/>
    <col min="58" max="58" width="2.85546875" style="3" customWidth="1"/>
    <col min="59" max="60" width="1.28515625" style="3" customWidth="1"/>
    <col min="61" max="61" width="9.42578125" style="3" customWidth="1"/>
    <col min="62" max="62" width="5.7109375" style="3" customWidth="1"/>
    <col min="63" max="63" width="1.28515625" style="3" customWidth="1"/>
    <col min="64" max="64" width="10.140625" style="3" customWidth="1"/>
    <col min="65" max="65" width="5.7109375" style="3" customWidth="1"/>
    <col min="66" max="66" width="1.28515625" style="3" customWidth="1"/>
    <col min="67" max="67" width="9.42578125" style="3" customWidth="1"/>
    <col min="68" max="68" width="5.7109375" style="3" customWidth="1"/>
    <col min="69" max="69" width="1.28515625" style="3" customWidth="1"/>
    <col min="70" max="70" width="9.42578125" style="3" customWidth="1"/>
    <col min="71" max="71" width="5.7109375" style="3" customWidth="1"/>
    <col min="72" max="72" width="1.28515625" style="3" customWidth="1"/>
    <col min="73" max="73" width="9.42578125" style="3" customWidth="1"/>
    <col min="74" max="74" width="5.7109375" style="3" customWidth="1"/>
    <col min="75" max="75" width="2" style="3" customWidth="1"/>
    <col min="76" max="76" width="1.28515625" style="3" customWidth="1"/>
    <col min="77" max="77" width="16.28515625" style="3" customWidth="1"/>
    <col min="78" max="78" width="5.7109375" style="3" customWidth="1"/>
    <col min="79" max="79" width="1.28515625" style="3" customWidth="1"/>
    <col min="80" max="80" width="19.7109375" style="3" customWidth="1"/>
    <col min="81" max="81" width="5.7109375" style="3" customWidth="1"/>
    <col min="82" max="82" width="1.28515625" style="3" customWidth="1"/>
    <col min="83" max="83" width="11.42578125" style="3" customWidth="1"/>
    <col min="84" max="84" width="5.7109375" style="3" customWidth="1"/>
    <col min="85" max="85" width="1.28515625" style="3" customWidth="1"/>
    <col min="86" max="86" width="11.5703125" style="3" customWidth="1"/>
    <col min="87" max="87" width="5.7109375" style="3" customWidth="1"/>
    <col min="88" max="88" width="2" style="3" customWidth="1"/>
    <col min="89" max="89" width="2.85546875" style="3" customWidth="1"/>
    <col min="90" max="90" width="1" style="3" customWidth="1"/>
    <col min="91" max="91" width="16.85546875" style="3" customWidth="1"/>
    <col min="92" max="92" width="5.7109375" style="3" customWidth="1"/>
    <col min="93" max="93" width="1.28515625" style="3" customWidth="1"/>
    <col min="94" max="94" width="12.42578125" style="3" customWidth="1"/>
    <col min="95" max="95" width="5.7109375" style="3" customWidth="1"/>
    <col min="96" max="96" width="1.28515625" style="3" customWidth="1"/>
    <col min="97" max="97" width="12.42578125" style="3" customWidth="1"/>
    <col min="98" max="98" width="5.7109375" style="3" customWidth="1"/>
    <col min="99" max="99" width="1.28515625" style="3" customWidth="1"/>
    <col min="100" max="100" width="9.42578125" style="3" customWidth="1"/>
    <col min="101" max="101" width="5.7109375" style="3" customWidth="1"/>
    <col min="102" max="102" width="1.28515625" style="3" customWidth="1"/>
    <col min="103" max="103" width="9.42578125" style="3" customWidth="1"/>
    <col min="104" max="104" width="5.7109375" style="3" customWidth="1"/>
    <col min="105" max="105" width="1.28515625" style="3" customWidth="1"/>
    <col min="106" max="106" width="11.7109375" style="2" customWidth="1"/>
    <col min="107" max="107" width="20.5703125" style="2" bestFit="1" customWidth="1"/>
    <col min="108" max="108" width="22.28515625" style="2" bestFit="1" customWidth="1"/>
    <col min="109" max="109" width="10.85546875" style="2" bestFit="1" customWidth="1"/>
    <col min="110" max="110" width="18.85546875" style="2" bestFit="1" customWidth="1"/>
    <col min="111" max="120" width="9.140625" style="2" customWidth="1"/>
    <col min="121" max="16384" width="9.140625" style="2"/>
  </cols>
  <sheetData>
    <row r="1" spans="5:120">
      <c r="E1" s="227" t="str">
        <f>'1'!E3</f>
        <v>Шкаф</v>
      </c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8"/>
      <c r="BR1" s="228"/>
      <c r="BS1" s="228"/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  <c r="CG1" s="228"/>
      <c r="CH1" s="228"/>
      <c r="CI1" s="228"/>
      <c r="CJ1" s="228"/>
      <c r="CK1" s="228"/>
      <c r="CL1" s="228"/>
      <c r="CM1" s="228"/>
      <c r="CN1" s="228"/>
      <c r="CO1" s="228"/>
      <c r="CP1" s="228"/>
      <c r="CQ1" s="228"/>
      <c r="CR1" s="228"/>
      <c r="CS1" s="228"/>
      <c r="CT1" s="228"/>
      <c r="CU1" s="228"/>
      <c r="CV1" s="228"/>
      <c r="CW1" s="228"/>
      <c r="CX1" s="228"/>
      <c r="CY1" s="228"/>
      <c r="CZ1" s="228"/>
      <c r="DA1" s="229"/>
    </row>
    <row r="2" spans="5:120" ht="24.75" customHeight="1">
      <c r="E2" s="234" t="str">
        <f>'1'!C45</f>
        <v>NDR-120-24</v>
      </c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  <c r="BA2" s="235"/>
      <c r="BB2" s="235"/>
      <c r="BC2" s="235"/>
      <c r="BD2" s="235"/>
      <c r="BE2" s="235"/>
      <c r="BF2" s="235"/>
      <c r="BG2" s="235"/>
      <c r="BH2" s="235"/>
      <c r="BI2" s="235"/>
      <c r="BJ2" s="235"/>
      <c r="BK2" s="235"/>
      <c r="BL2" s="235"/>
      <c r="BM2" s="235"/>
      <c r="BN2" s="235"/>
      <c r="BO2" s="235"/>
      <c r="BP2" s="235"/>
      <c r="BQ2" s="235"/>
      <c r="BR2" s="235"/>
      <c r="BS2" s="235"/>
      <c r="BT2" s="235"/>
      <c r="BU2" s="235"/>
      <c r="BV2" s="235"/>
      <c r="BW2" s="235"/>
      <c r="BX2" s="235"/>
      <c r="BY2" s="235"/>
      <c r="BZ2" s="235"/>
      <c r="CA2" s="235"/>
      <c r="CB2" s="235"/>
      <c r="CC2" s="235"/>
      <c r="CD2" s="235"/>
      <c r="CE2" s="235"/>
      <c r="CF2" s="235"/>
      <c r="CG2" s="235"/>
      <c r="CH2" s="235"/>
      <c r="CI2" s="235"/>
      <c r="CJ2" s="235"/>
      <c r="CK2" s="235"/>
      <c r="CL2" s="235"/>
      <c r="CM2" s="235"/>
      <c r="CN2" s="235"/>
      <c r="CO2" s="235"/>
      <c r="CP2" s="235"/>
      <c r="CQ2" s="235"/>
      <c r="CR2" s="235"/>
      <c r="CS2" s="235"/>
      <c r="CT2" s="235"/>
      <c r="CU2" s="235"/>
      <c r="CV2" s="235"/>
      <c r="CW2" s="235"/>
      <c r="CX2" s="235"/>
      <c r="CY2" s="235"/>
      <c r="CZ2" s="235"/>
      <c r="DA2" s="236"/>
    </row>
    <row r="3" spans="5:120" ht="11.25" customHeight="1">
      <c r="E3" s="237">
        <f>'1'!D45</f>
        <v>6</v>
      </c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  <c r="AZ3" s="238"/>
      <c r="BA3" s="238"/>
      <c r="BB3" s="238"/>
      <c r="BC3" s="238"/>
      <c r="BD3" s="238"/>
      <c r="BE3" s="238"/>
      <c r="BF3" s="238"/>
      <c r="BG3" s="238"/>
      <c r="BH3" s="238"/>
      <c r="BI3" s="238"/>
      <c r="BJ3" s="238"/>
      <c r="BK3" s="238"/>
      <c r="BL3" s="238"/>
      <c r="BM3" s="238"/>
      <c r="BN3" s="238"/>
      <c r="BO3" s="238"/>
      <c r="BP3" s="238"/>
      <c r="BQ3" s="238"/>
      <c r="BR3" s="238"/>
      <c r="BS3" s="238"/>
      <c r="BT3" s="238"/>
      <c r="BU3" s="238"/>
      <c r="BV3" s="238"/>
      <c r="BW3" s="238"/>
      <c r="BX3" s="238"/>
      <c r="BY3" s="238"/>
      <c r="BZ3" s="238"/>
      <c r="CA3" s="238"/>
      <c r="CB3" s="238"/>
      <c r="CC3" s="238"/>
      <c r="CD3" s="238"/>
      <c r="CE3" s="238"/>
      <c r="CF3" s="238"/>
      <c r="CG3" s="238"/>
      <c r="CH3" s="238"/>
      <c r="CI3" s="238"/>
      <c r="CJ3" s="238"/>
      <c r="CK3" s="238"/>
      <c r="CL3" s="238"/>
      <c r="CM3" s="238"/>
      <c r="CN3" s="238"/>
      <c r="CO3" s="238"/>
      <c r="CP3" s="238"/>
      <c r="CQ3" s="238"/>
      <c r="CR3" s="238"/>
      <c r="CS3" s="238"/>
      <c r="CT3" s="238"/>
      <c r="CU3" s="238"/>
      <c r="CV3" s="238"/>
      <c r="CW3" s="238"/>
      <c r="CX3" s="238"/>
      <c r="CY3" s="238"/>
      <c r="CZ3" s="238"/>
      <c r="DA3" s="239"/>
    </row>
    <row r="4" spans="5:120">
      <c r="E4" s="234" t="str">
        <f>'1'!C46</f>
        <v>DRDN20-24</v>
      </c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5"/>
      <c r="CL4" s="235"/>
      <c r="CM4" s="235"/>
      <c r="CN4" s="235"/>
      <c r="CO4" s="235"/>
      <c r="CP4" s="235"/>
      <c r="CQ4" s="235"/>
      <c r="CR4" s="235"/>
      <c r="CS4" s="235"/>
      <c r="CT4" s="235"/>
      <c r="CU4" s="235"/>
      <c r="CV4" s="235"/>
      <c r="CW4" s="235"/>
      <c r="CX4" s="235"/>
      <c r="CY4" s="235"/>
      <c r="CZ4" s="235"/>
      <c r="DA4" s="236"/>
    </row>
    <row r="5" spans="5:120">
      <c r="E5" s="237">
        <f>'1'!D46</f>
        <v>3</v>
      </c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238"/>
      <c r="AC5" s="238"/>
      <c r="AD5" s="238"/>
      <c r="AE5" s="238"/>
      <c r="AF5" s="238"/>
      <c r="AG5" s="238"/>
      <c r="AH5" s="238"/>
      <c r="AI5" s="238"/>
      <c r="AJ5" s="238"/>
      <c r="AK5" s="238"/>
      <c r="AL5" s="238"/>
      <c r="AM5" s="238"/>
      <c r="AN5" s="238"/>
      <c r="AO5" s="238"/>
      <c r="AP5" s="238"/>
      <c r="AQ5" s="238"/>
      <c r="AR5" s="238"/>
      <c r="AS5" s="238"/>
      <c r="AT5" s="238"/>
      <c r="AU5" s="238"/>
      <c r="AV5" s="238"/>
      <c r="AW5" s="238"/>
      <c r="AX5" s="238"/>
      <c r="AY5" s="238"/>
      <c r="AZ5" s="238"/>
      <c r="BA5" s="238"/>
      <c r="BB5" s="238"/>
      <c r="BC5" s="238"/>
      <c r="BD5" s="238"/>
      <c r="BE5" s="238"/>
      <c r="BF5" s="238"/>
      <c r="BG5" s="238"/>
      <c r="BH5" s="238"/>
      <c r="BI5" s="238"/>
      <c r="BJ5" s="238"/>
      <c r="BK5" s="238"/>
      <c r="BL5" s="238"/>
      <c r="BM5" s="238"/>
      <c r="BN5" s="238"/>
      <c r="BO5" s="238"/>
      <c r="BP5" s="238"/>
      <c r="BQ5" s="238"/>
      <c r="BR5" s="238"/>
      <c r="BS5" s="238"/>
      <c r="BT5" s="238"/>
      <c r="BU5" s="238"/>
      <c r="BV5" s="238"/>
      <c r="BW5" s="238"/>
      <c r="BX5" s="238"/>
      <c r="BY5" s="238"/>
      <c r="BZ5" s="238"/>
      <c r="CA5" s="238"/>
      <c r="CB5" s="238"/>
      <c r="CC5" s="238"/>
      <c r="CD5" s="238"/>
      <c r="CE5" s="238"/>
      <c r="CF5" s="238"/>
      <c r="CG5" s="238"/>
      <c r="CH5" s="238"/>
      <c r="CI5" s="238"/>
      <c r="CJ5" s="238"/>
      <c r="CK5" s="238"/>
      <c r="CL5" s="238"/>
      <c r="CM5" s="238"/>
      <c r="CN5" s="238"/>
      <c r="CO5" s="238"/>
      <c r="CP5" s="238"/>
      <c r="CQ5" s="238"/>
      <c r="CR5" s="238"/>
      <c r="CS5" s="238"/>
      <c r="CT5" s="238"/>
      <c r="CU5" s="238"/>
      <c r="CV5" s="238"/>
      <c r="CW5" s="238"/>
      <c r="CX5" s="238"/>
      <c r="CY5" s="238"/>
      <c r="CZ5" s="238"/>
      <c r="DA5" s="239"/>
    </row>
    <row r="6" spans="5:120">
      <c r="E6" s="234" t="str">
        <f>'1'!C26</f>
        <v>АРКС400.P410</v>
      </c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  <c r="CI6" s="235"/>
      <c r="CJ6" s="235"/>
      <c r="CK6" s="235"/>
      <c r="CL6" s="235"/>
      <c r="CM6" s="235"/>
      <c r="CN6" s="235"/>
      <c r="CO6" s="235"/>
      <c r="CP6" s="235"/>
      <c r="CQ6" s="235"/>
      <c r="CR6" s="235"/>
      <c r="CS6" s="235"/>
      <c r="CT6" s="235"/>
      <c r="CU6" s="235"/>
      <c r="CV6" s="235"/>
      <c r="CW6" s="235"/>
      <c r="CX6" s="235"/>
      <c r="CY6" s="235"/>
      <c r="CZ6" s="235"/>
      <c r="DA6" s="236"/>
    </row>
    <row r="7" spans="5:120">
      <c r="E7" s="237">
        <f>'1'!D26</f>
        <v>2</v>
      </c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8"/>
      <c r="AT7" s="238"/>
      <c r="AU7" s="238"/>
      <c r="AV7" s="238"/>
      <c r="AW7" s="238"/>
      <c r="AX7" s="238"/>
      <c r="AY7" s="238"/>
      <c r="AZ7" s="238"/>
      <c r="BA7" s="238"/>
      <c r="BB7" s="238"/>
      <c r="BC7" s="238"/>
      <c r="BD7" s="238"/>
      <c r="BE7" s="238"/>
      <c r="BF7" s="238"/>
      <c r="BG7" s="238"/>
      <c r="BH7" s="238"/>
      <c r="BI7" s="238"/>
      <c r="BJ7" s="238"/>
      <c r="BK7" s="238"/>
      <c r="BL7" s="238"/>
      <c r="BM7" s="238"/>
      <c r="BN7" s="238"/>
      <c r="BO7" s="238"/>
      <c r="BP7" s="238"/>
      <c r="BQ7" s="238"/>
      <c r="BR7" s="238"/>
      <c r="BS7" s="238"/>
      <c r="BT7" s="238"/>
      <c r="BU7" s="238"/>
      <c r="BV7" s="238"/>
      <c r="BW7" s="238"/>
      <c r="BX7" s="238"/>
      <c r="BY7" s="238"/>
      <c r="BZ7" s="238"/>
      <c r="CA7" s="238"/>
      <c r="CB7" s="238"/>
      <c r="CC7" s="238"/>
      <c r="CD7" s="238"/>
      <c r="CE7" s="238"/>
      <c r="CF7" s="238"/>
      <c r="CG7" s="238"/>
      <c r="CH7" s="238"/>
      <c r="CI7" s="238"/>
      <c r="CJ7" s="238"/>
      <c r="CK7" s="238"/>
      <c r="CL7" s="238"/>
      <c r="CM7" s="238"/>
      <c r="CN7" s="238"/>
      <c r="CO7" s="238"/>
      <c r="CP7" s="238"/>
      <c r="CQ7" s="238"/>
      <c r="CR7" s="238"/>
      <c r="CS7" s="238"/>
      <c r="CT7" s="238"/>
      <c r="CU7" s="238"/>
      <c r="CV7" s="238"/>
      <c r="CW7" s="238"/>
      <c r="CX7" s="238"/>
      <c r="CY7" s="238"/>
      <c r="CZ7" s="238"/>
      <c r="DA7" s="239"/>
    </row>
    <row r="8" spans="5:120">
      <c r="E8" s="234" t="str">
        <f>'1'!C27</f>
        <v>АРКС400.PS.4/24</v>
      </c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5"/>
      <c r="BJ8" s="235"/>
      <c r="BK8" s="235"/>
      <c r="BL8" s="235"/>
      <c r="BM8" s="235"/>
      <c r="BN8" s="235"/>
      <c r="BO8" s="235"/>
      <c r="BP8" s="235"/>
      <c r="BQ8" s="235"/>
      <c r="BR8" s="235"/>
      <c r="BS8" s="235"/>
      <c r="BT8" s="235"/>
      <c r="BU8" s="235"/>
      <c r="BV8" s="235"/>
      <c r="BW8" s="235"/>
      <c r="BX8" s="235"/>
      <c r="BY8" s="235"/>
      <c r="BZ8" s="235"/>
      <c r="CA8" s="235"/>
      <c r="CB8" s="235"/>
      <c r="CC8" s="235"/>
      <c r="CD8" s="235"/>
      <c r="CE8" s="235"/>
      <c r="CF8" s="235"/>
      <c r="CG8" s="235"/>
      <c r="CH8" s="235"/>
      <c r="CI8" s="235"/>
      <c r="CJ8" s="235"/>
      <c r="CK8" s="235"/>
      <c r="CL8" s="235"/>
      <c r="CM8" s="235"/>
      <c r="CN8" s="235"/>
      <c r="CO8" s="235"/>
      <c r="CP8" s="235"/>
      <c r="CQ8" s="235"/>
      <c r="CR8" s="235"/>
      <c r="CS8" s="235"/>
      <c r="CT8" s="235"/>
      <c r="CU8" s="235"/>
      <c r="CV8" s="235"/>
      <c r="CW8" s="235"/>
      <c r="CX8" s="235"/>
      <c r="CY8" s="235"/>
      <c r="CZ8" s="235"/>
      <c r="DA8" s="236"/>
    </row>
    <row r="9" spans="5:120" ht="13.5" thickBot="1">
      <c r="E9" s="240">
        <f>'1'!D27</f>
        <v>0</v>
      </c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  <c r="BD9" s="241"/>
      <c r="BE9" s="241"/>
      <c r="BF9" s="241"/>
      <c r="BG9" s="241"/>
      <c r="BH9" s="241"/>
      <c r="BI9" s="241"/>
      <c r="BJ9" s="241"/>
      <c r="BK9" s="241"/>
      <c r="BL9" s="241"/>
      <c r="BM9" s="241"/>
      <c r="BN9" s="241"/>
      <c r="BO9" s="241"/>
      <c r="BP9" s="241"/>
      <c r="BQ9" s="241"/>
      <c r="BR9" s="241"/>
      <c r="BS9" s="241"/>
      <c r="BT9" s="241"/>
      <c r="BU9" s="241"/>
      <c r="BV9" s="241"/>
      <c r="BW9" s="241"/>
      <c r="BX9" s="241"/>
      <c r="BY9" s="241"/>
      <c r="BZ9" s="241"/>
      <c r="CA9" s="241"/>
      <c r="CB9" s="241"/>
      <c r="CC9" s="241"/>
      <c r="CD9" s="241"/>
      <c r="CE9" s="241"/>
      <c r="CF9" s="241"/>
      <c r="CG9" s="241"/>
      <c r="CH9" s="241"/>
      <c r="CI9" s="241"/>
      <c r="CJ9" s="241"/>
      <c r="CK9" s="241"/>
      <c r="CL9" s="241"/>
      <c r="CM9" s="241"/>
      <c r="CN9" s="241"/>
      <c r="CO9" s="241"/>
      <c r="CP9" s="241"/>
      <c r="CQ9" s="241"/>
      <c r="CR9" s="241"/>
      <c r="CS9" s="241"/>
      <c r="CT9" s="241"/>
      <c r="CU9" s="241"/>
      <c r="CV9" s="241"/>
      <c r="CW9" s="241"/>
      <c r="CX9" s="241"/>
      <c r="CY9" s="241"/>
      <c r="CZ9" s="241"/>
      <c r="DA9" s="242"/>
    </row>
    <row r="10" spans="5:120">
      <c r="E10" s="124"/>
      <c r="F10" s="124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</row>
    <row r="11" spans="5:120">
      <c r="E11" s="243" t="s">
        <v>162</v>
      </c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  <c r="BX11" s="243"/>
      <c r="BY11" s="243"/>
      <c r="BZ11" s="243"/>
      <c r="CA11" s="243"/>
      <c r="CB11" s="243"/>
      <c r="CC11" s="243"/>
      <c r="CD11" s="243"/>
      <c r="CE11" s="243"/>
      <c r="CF11" s="243"/>
      <c r="CG11" s="243"/>
      <c r="CH11" s="243"/>
      <c r="CI11" s="243"/>
      <c r="CJ11" s="243"/>
      <c r="CK11" s="243"/>
      <c r="CL11" s="243"/>
      <c r="CM11" s="243"/>
      <c r="CN11" s="243"/>
      <c r="CO11" s="243"/>
      <c r="CP11" s="243"/>
      <c r="CQ11" s="243"/>
      <c r="CR11" s="243"/>
      <c r="CS11" s="243"/>
      <c r="CT11" s="243"/>
      <c r="CU11" s="243"/>
      <c r="CV11" s="243"/>
      <c r="CW11" s="243"/>
      <c r="CX11" s="243"/>
      <c r="CY11" s="243"/>
      <c r="CZ11" s="243"/>
      <c r="DA11" s="243"/>
    </row>
    <row r="12" spans="5:120" ht="13.5" thickBot="1"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</row>
    <row r="13" spans="5:120" ht="12" customHeight="1" thickBot="1">
      <c r="E13" s="230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2"/>
      <c r="BI13" s="232"/>
      <c r="BJ13" s="232"/>
      <c r="BK13" s="232"/>
      <c r="BL13" s="232"/>
      <c r="BM13" s="232"/>
      <c r="BN13" s="232"/>
      <c r="BO13" s="232"/>
      <c r="BP13" s="232"/>
      <c r="BQ13" s="232"/>
      <c r="BR13" s="232"/>
      <c r="BS13" s="232"/>
      <c r="BT13" s="232"/>
      <c r="BU13" s="232"/>
      <c r="BV13" s="232"/>
      <c r="BW13" s="232"/>
      <c r="BX13" s="232"/>
      <c r="BY13" s="232"/>
      <c r="BZ13" s="232"/>
      <c r="CA13" s="232"/>
      <c r="CB13" s="232"/>
      <c r="CC13" s="232"/>
      <c r="CD13" s="232"/>
      <c r="CE13" s="232"/>
      <c r="CF13" s="232"/>
      <c r="CG13" s="232"/>
      <c r="CH13" s="232"/>
      <c r="CI13" s="232"/>
      <c r="CJ13" s="232"/>
      <c r="CK13" s="232"/>
      <c r="CL13" s="231"/>
      <c r="CM13" s="231"/>
      <c r="CN13" s="231"/>
      <c r="CO13" s="231"/>
      <c r="CP13" s="231"/>
      <c r="CQ13" s="231"/>
      <c r="CR13" s="231"/>
      <c r="CS13" s="231"/>
      <c r="CT13" s="231"/>
      <c r="CU13" s="231"/>
      <c r="CV13" s="231"/>
      <c r="CW13" s="231"/>
      <c r="CX13" s="231"/>
      <c r="CY13" s="231"/>
      <c r="CZ13" s="231"/>
      <c r="DA13" s="233"/>
    </row>
    <row r="14" spans="5:120" ht="12.75" customHeight="1">
      <c r="E14" s="18"/>
      <c r="F14" s="204">
        <f>'1'!D28</f>
        <v>0</v>
      </c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6"/>
      <c r="S14" s="24"/>
      <c r="T14" s="204">
        <f>'1'!D30+'1'!D31</f>
        <v>4</v>
      </c>
      <c r="U14" s="210"/>
      <c r="V14" s="210"/>
      <c r="W14" s="210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6"/>
      <c r="AP14" s="24"/>
      <c r="AQ14" s="24"/>
      <c r="AR14" s="24"/>
      <c r="AS14" s="24"/>
      <c r="AT14" s="204">
        <f>'1'!D31+'1'!D32</f>
        <v>26</v>
      </c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6"/>
      <c r="BG14" s="24"/>
      <c r="BH14" s="204">
        <f>IF(AND(SUM(BI19:CJ19)&gt;0,'1'!D33=0),"-",'1'!D33)</f>
        <v>3</v>
      </c>
      <c r="BI14" s="205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11"/>
      <c r="CK14" s="206"/>
      <c r="CL14" s="24"/>
      <c r="CM14" s="108"/>
      <c r="CN14" s="18"/>
      <c r="CO14" s="24"/>
      <c r="CP14" s="108"/>
      <c r="CQ14" s="18"/>
      <c r="CR14" s="24"/>
      <c r="CS14" s="108"/>
      <c r="CT14" s="18"/>
      <c r="CU14" s="24"/>
      <c r="CV14" s="117"/>
      <c r="CW14" s="24"/>
      <c r="CX14" s="24"/>
      <c r="CY14" s="117"/>
      <c r="CZ14" s="24"/>
      <c r="DA14" s="24"/>
    </row>
    <row r="15" spans="5:120" s="6" customFormat="1" ht="12.75" customHeight="1">
      <c r="E15" s="122"/>
      <c r="F15" s="265" t="str">
        <f>'1'!C28</f>
        <v>АРКС400.AIO.2.32/0.CLU22</v>
      </c>
      <c r="G15" s="263"/>
      <c r="H15" s="263"/>
      <c r="I15" s="263"/>
      <c r="J15" s="263"/>
      <c r="K15" s="263"/>
      <c r="L15" s="266"/>
      <c r="M15" s="214" t="str">
        <f>'1'!C29</f>
        <v>АРКС400.AIO.2.32/2.CLU22</v>
      </c>
      <c r="N15" s="263"/>
      <c r="O15" s="263"/>
      <c r="P15" s="263"/>
      <c r="Q15" s="263"/>
      <c r="R15" s="264"/>
      <c r="S15" s="122"/>
      <c r="T15" s="265" t="str">
        <f>'1'!C30</f>
        <v>АРКС400.AIO.1.16/0.CLU2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14" t="str">
        <f>'1'!C31</f>
        <v>АРКС400.AIO.1.16/2.CLU2</v>
      </c>
      <c r="AG15" s="263"/>
      <c r="AH15" s="263"/>
      <c r="AI15" s="263"/>
      <c r="AJ15" s="263"/>
      <c r="AK15" s="263"/>
      <c r="AL15" s="263"/>
      <c r="AM15" s="263"/>
      <c r="AN15" s="263"/>
      <c r="AO15" s="264"/>
      <c r="AP15" s="122"/>
      <c r="AQ15" s="122"/>
      <c r="AR15" s="122"/>
      <c r="AS15" s="122"/>
      <c r="AT15" s="212" t="str">
        <f>'1'!C29</f>
        <v>АРКС400.AIO.2.32/2.CLU22</v>
      </c>
      <c r="AU15" s="213"/>
      <c r="AV15" s="213"/>
      <c r="AW15" s="213"/>
      <c r="AX15" s="213" t="str">
        <f>'1'!C31</f>
        <v>АРКС400.AIO.1.16/2.CLU2</v>
      </c>
      <c r="AY15" s="213"/>
      <c r="AZ15" s="213"/>
      <c r="BA15" s="213"/>
      <c r="BB15" s="213" t="str">
        <f>'1'!C32</f>
        <v>АРКС400.AIO.1.00/2.CLU2</v>
      </c>
      <c r="BC15" s="213"/>
      <c r="BD15" s="213"/>
      <c r="BE15" s="213"/>
      <c r="BF15" s="215"/>
      <c r="BG15" s="122"/>
      <c r="BH15" s="212" t="str">
        <f>'1'!C33</f>
        <v>АРКС400.DIO.64.CLD</v>
      </c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3"/>
      <c r="CF15" s="213"/>
      <c r="CG15" s="213"/>
      <c r="CH15" s="213"/>
      <c r="CI15" s="213"/>
      <c r="CJ15" s="214"/>
      <c r="CK15" s="215"/>
      <c r="CL15" s="122"/>
      <c r="CM15" s="108"/>
      <c r="CN15" s="24"/>
      <c r="CO15" s="25"/>
      <c r="CP15" s="108"/>
      <c r="CQ15" s="24"/>
      <c r="CR15" s="25"/>
      <c r="CS15" s="108"/>
      <c r="CT15" s="24"/>
      <c r="CU15" s="25"/>
      <c r="CV15" s="110"/>
      <c r="CW15" s="18"/>
      <c r="CX15" s="25"/>
      <c r="CY15" s="110"/>
      <c r="CZ15" s="18"/>
      <c r="DA15" s="12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</row>
    <row r="16" spans="5:120" ht="13.5" customHeight="1" thickBot="1">
      <c r="E16" s="18"/>
      <c r="F16" s="207" t="s">
        <v>15</v>
      </c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59">
        <f>VLOOKUP(F15,Service!$E$2:$F$56,2,0)</f>
        <v>32</v>
      </c>
      <c r="S16" s="24"/>
      <c r="T16" s="207" t="s">
        <v>15</v>
      </c>
      <c r="U16" s="209"/>
      <c r="V16" s="209"/>
      <c r="W16" s="209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59">
        <f>VLOOKUP(T15,Service!$E$2:$F$56,2,0)</f>
        <v>16</v>
      </c>
      <c r="AP16" s="24"/>
      <c r="AQ16" s="122"/>
      <c r="AR16" s="122"/>
      <c r="AS16" s="24"/>
      <c r="AT16" s="207" t="s">
        <v>15</v>
      </c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59">
        <f>VLOOKUP(AT15,Service!$E$20:$F$56,2,0)</f>
        <v>2</v>
      </c>
      <c r="BG16" s="24"/>
      <c r="BH16" s="216" t="s">
        <v>150</v>
      </c>
      <c r="BI16" s="217"/>
      <c r="BJ16" s="217"/>
      <c r="BK16" s="217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  <c r="CC16" s="217"/>
      <c r="CD16" s="217"/>
      <c r="CE16" s="217"/>
      <c r="CF16" s="217"/>
      <c r="CG16" s="217"/>
      <c r="CH16" s="217"/>
      <c r="CI16" s="217"/>
      <c r="CJ16" s="209"/>
      <c r="CK16" s="59">
        <v>8</v>
      </c>
      <c r="CL16" s="24"/>
      <c r="CM16" s="108"/>
      <c r="CN16" s="18"/>
      <c r="CO16" s="24"/>
      <c r="CP16" s="108"/>
      <c r="CQ16" s="18"/>
      <c r="CR16" s="24"/>
      <c r="CS16" s="108"/>
      <c r="CT16" s="18"/>
      <c r="CU16" s="24"/>
      <c r="CV16" s="110"/>
      <c r="CW16" s="115"/>
      <c r="CX16" s="24"/>
      <c r="CY16" s="110"/>
      <c r="CZ16" s="115"/>
      <c r="DA16" s="24"/>
      <c r="DB16" s="6"/>
      <c r="DG16" s="6"/>
      <c r="DH16" s="6"/>
      <c r="DI16" s="6"/>
      <c r="DJ16" s="6"/>
      <c r="DK16" s="6"/>
      <c r="DL16" s="6"/>
      <c r="DM16" s="6"/>
      <c r="DN16" s="6"/>
      <c r="DO16" s="6"/>
      <c r="DP16" s="6"/>
    </row>
    <row r="17" spans="5:120" ht="13.5" thickBot="1">
      <c r="E17" s="18"/>
      <c r="F17" s="18"/>
      <c r="G17" s="116"/>
      <c r="H17" s="24"/>
      <c r="I17" s="18"/>
      <c r="J17" s="116"/>
      <c r="K17" s="24"/>
      <c r="L17" s="24"/>
      <c r="M17" s="116"/>
      <c r="N17" s="24"/>
      <c r="O17" s="24"/>
      <c r="P17" s="116"/>
      <c r="Q17" s="24"/>
      <c r="R17" s="24"/>
      <c r="S17" s="24"/>
      <c r="T17" s="24"/>
      <c r="U17" s="116"/>
      <c r="V17" s="24"/>
      <c r="W17" s="24"/>
      <c r="X17" s="116"/>
      <c r="Y17" s="24"/>
      <c r="Z17" s="24"/>
      <c r="AA17" s="116"/>
      <c r="AB17" s="24"/>
      <c r="AC17" s="24"/>
      <c r="AD17" s="116"/>
      <c r="AE17" s="24"/>
      <c r="AF17" s="24"/>
      <c r="AG17" s="116"/>
      <c r="AH17" s="24"/>
      <c r="AI17" s="24"/>
      <c r="AJ17" s="116"/>
      <c r="AK17" s="24"/>
      <c r="AL17" s="24"/>
      <c r="AM17" s="116"/>
      <c r="AN17" s="24"/>
      <c r="AO17" s="24"/>
      <c r="AP17" s="24"/>
      <c r="AQ17" s="246" t="s">
        <v>77</v>
      </c>
      <c r="AR17" s="247"/>
      <c r="AS17" s="24"/>
      <c r="AT17" s="24"/>
      <c r="AU17" s="116"/>
      <c r="AV17" s="24"/>
      <c r="AW17" s="24"/>
      <c r="AX17" s="116"/>
      <c r="AY17" s="24"/>
      <c r="AZ17" s="24"/>
      <c r="BA17" s="116"/>
      <c r="BB17" s="24"/>
      <c r="BC17" s="24"/>
      <c r="BD17" s="116"/>
      <c r="BE17" s="24"/>
      <c r="BF17" s="24"/>
      <c r="BG17" s="24"/>
      <c r="BH17" s="24"/>
      <c r="BI17" s="116"/>
      <c r="BJ17" s="24"/>
      <c r="BK17" s="24"/>
      <c r="BL17" s="116"/>
      <c r="BM17" s="24"/>
      <c r="BN17" s="24"/>
      <c r="BO17" s="116"/>
      <c r="BP17" s="24"/>
      <c r="BQ17" s="24"/>
      <c r="BR17" s="116"/>
      <c r="BS17" s="24"/>
      <c r="BT17" s="24"/>
      <c r="BU17" s="116"/>
      <c r="BV17" s="24"/>
      <c r="BW17" s="24"/>
      <c r="BX17" s="24"/>
      <c r="BY17" s="116"/>
      <c r="BZ17" s="24"/>
      <c r="CA17" s="24"/>
      <c r="CB17" s="116"/>
      <c r="CC17" s="24"/>
      <c r="CD17" s="24"/>
      <c r="CE17" s="116"/>
      <c r="CF17" s="24"/>
      <c r="CG17" s="24"/>
      <c r="CH17" s="116"/>
      <c r="CI17" s="24"/>
      <c r="CJ17" s="24"/>
      <c r="CK17" s="24"/>
      <c r="CL17" s="24"/>
      <c r="CM17" s="108"/>
      <c r="CN17" s="24"/>
      <c r="CO17" s="24"/>
      <c r="CP17" s="108"/>
      <c r="CQ17" s="24"/>
      <c r="CR17" s="24"/>
      <c r="CS17" s="108"/>
      <c r="CT17" s="24"/>
      <c r="CU17" s="24"/>
      <c r="CV17" s="110"/>
      <c r="CW17" s="18"/>
      <c r="CX17" s="24"/>
      <c r="CY17" s="110"/>
      <c r="CZ17" s="18"/>
      <c r="DA17" s="24"/>
    </row>
    <row r="18" spans="5:120" ht="13.5" thickBot="1">
      <c r="E18" s="18"/>
      <c r="F18" s="18"/>
      <c r="G18" s="116"/>
      <c r="H18" s="24"/>
      <c r="I18" s="18"/>
      <c r="J18" s="116"/>
      <c r="K18" s="24"/>
      <c r="L18" s="24"/>
      <c r="M18" s="116"/>
      <c r="N18" s="18"/>
      <c r="O18" s="24"/>
      <c r="P18" s="116"/>
      <c r="Q18" s="18"/>
      <c r="R18" s="18"/>
      <c r="S18" s="24"/>
      <c r="T18" s="24"/>
      <c r="U18" s="116"/>
      <c r="V18" s="18"/>
      <c r="W18" s="24"/>
      <c r="X18" s="116"/>
      <c r="Y18" s="18"/>
      <c r="Z18" s="24"/>
      <c r="AA18" s="116"/>
      <c r="AB18" s="18"/>
      <c r="AC18" s="18"/>
      <c r="AD18" s="116"/>
      <c r="AE18" s="18"/>
      <c r="AF18" s="24"/>
      <c r="AG18" s="116"/>
      <c r="AH18" s="18"/>
      <c r="AI18" s="24"/>
      <c r="AJ18" s="116"/>
      <c r="AK18" s="24"/>
      <c r="AL18" s="24"/>
      <c r="AM18" s="116"/>
      <c r="AN18" s="24"/>
      <c r="AO18" s="24"/>
      <c r="AP18" s="24"/>
      <c r="AQ18" s="24"/>
      <c r="AR18" s="144"/>
      <c r="AS18" s="24"/>
      <c r="AT18" s="24"/>
      <c r="AU18" s="116"/>
      <c r="AV18" s="18"/>
      <c r="AW18" s="24"/>
      <c r="AX18" s="116"/>
      <c r="AY18" s="18"/>
      <c r="AZ18" s="24"/>
      <c r="BA18" s="116"/>
      <c r="BB18" s="18"/>
      <c r="BC18" s="24"/>
      <c r="BD18" s="116"/>
      <c r="BE18" s="18"/>
      <c r="BF18" s="18"/>
      <c r="BG18" s="24"/>
      <c r="BH18" s="24"/>
      <c r="BI18" s="116"/>
      <c r="BJ18" s="24"/>
      <c r="BK18" s="24"/>
      <c r="BL18" s="116"/>
      <c r="BM18" s="18"/>
      <c r="BN18" s="24"/>
      <c r="BO18" s="116"/>
      <c r="BP18" s="18"/>
      <c r="BQ18" s="24"/>
      <c r="BR18" s="116"/>
      <c r="BS18" s="18"/>
      <c r="BT18" s="24"/>
      <c r="BU18" s="116"/>
      <c r="BV18" s="18"/>
      <c r="BW18" s="18"/>
      <c r="BX18" s="24"/>
      <c r="BY18" s="116"/>
      <c r="BZ18" s="18"/>
      <c r="CA18" s="24"/>
      <c r="CB18" s="116"/>
      <c r="CC18" s="18"/>
      <c r="CD18" s="18"/>
      <c r="CE18" s="116"/>
      <c r="CF18" s="18"/>
      <c r="CG18" s="24"/>
      <c r="CH18" s="116"/>
      <c r="CI18" s="18"/>
      <c r="CJ18" s="18"/>
      <c r="CK18" s="18"/>
      <c r="CL18" s="24"/>
      <c r="CM18" s="108"/>
      <c r="CN18" s="18"/>
      <c r="CO18" s="18"/>
      <c r="CP18" s="108"/>
      <c r="CQ18" s="18"/>
      <c r="CR18" s="18"/>
      <c r="CS18" s="108"/>
      <c r="CT18" s="18"/>
      <c r="CU18" s="18"/>
      <c r="CV18" s="117"/>
      <c r="CW18" s="120"/>
      <c r="CX18" s="18"/>
      <c r="CY18" s="117"/>
      <c r="CZ18" s="120"/>
      <c r="DA18" s="24"/>
    </row>
    <row r="19" spans="5:120">
      <c r="E19" s="18"/>
      <c r="F19" s="18"/>
      <c r="G19" s="116"/>
      <c r="H19" s="24"/>
      <c r="I19" s="18"/>
      <c r="J19" s="116"/>
      <c r="K19" s="24"/>
      <c r="L19" s="24"/>
      <c r="M19" s="116"/>
      <c r="N19" s="24"/>
      <c r="O19" s="24"/>
      <c r="P19" s="116"/>
      <c r="Q19" s="24"/>
      <c r="R19" s="24"/>
      <c r="S19" s="24"/>
      <c r="T19" s="24"/>
      <c r="U19" s="116"/>
      <c r="V19" s="24"/>
      <c r="W19" s="24"/>
      <c r="X19" s="116"/>
      <c r="Y19" s="24"/>
      <c r="Z19" s="24"/>
      <c r="AA19" s="116"/>
      <c r="AB19" s="24"/>
      <c r="AC19" s="24"/>
      <c r="AD19" s="116"/>
      <c r="AE19" s="24"/>
      <c r="AF19" s="24"/>
      <c r="AG19" s="116"/>
      <c r="AH19" s="24"/>
      <c r="AI19" s="24"/>
      <c r="AJ19" s="255">
        <f>ROUNDUP((AK38)/AK22,0)</f>
        <v>1</v>
      </c>
      <c r="AK19" s="256"/>
      <c r="AL19" s="18"/>
      <c r="AM19" s="255">
        <f>ROUNDUP((AN38)/AN22,0)</f>
        <v>1</v>
      </c>
      <c r="AN19" s="256"/>
      <c r="AO19" s="24"/>
      <c r="AP19" s="145"/>
      <c r="AQ19" s="248">
        <f>'1'!D48</f>
        <v>4</v>
      </c>
      <c r="AR19" s="248"/>
      <c r="AS19" s="146"/>
      <c r="AT19" s="18"/>
      <c r="AU19" s="255">
        <f>ROUNDUP((AV38)/AV22,0)</f>
        <v>1</v>
      </c>
      <c r="AV19" s="256"/>
      <c r="AW19" s="18"/>
      <c r="AX19" s="255">
        <f>ROUNDUP((AY38)/AY22,0)</f>
        <v>1</v>
      </c>
      <c r="AY19" s="256"/>
      <c r="AZ19" s="24"/>
      <c r="BA19" s="116"/>
      <c r="BB19" s="24"/>
      <c r="BC19" s="24"/>
      <c r="BD19" s="116"/>
      <c r="BE19" s="24"/>
      <c r="BF19" s="24"/>
      <c r="BG19" s="24"/>
      <c r="BH19" s="116"/>
      <c r="BI19" s="182">
        <f>'1'!$D$35</f>
        <v>15</v>
      </c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18"/>
      <c r="BU19" s="218"/>
      <c r="BV19" s="218"/>
      <c r="BW19" s="183"/>
      <c r="BX19" s="24"/>
      <c r="BY19" s="182">
        <f>'1'!$D$34</f>
        <v>3</v>
      </c>
      <c r="BZ19" s="219"/>
      <c r="CA19" s="136"/>
      <c r="CB19" s="182">
        <f>'1'!$D$36</f>
        <v>3</v>
      </c>
      <c r="CC19" s="183"/>
      <c r="CD19" s="116"/>
      <c r="CE19" s="182">
        <f>'1'!$D$37</f>
        <v>6</v>
      </c>
      <c r="CF19" s="218"/>
      <c r="CG19" s="218"/>
      <c r="CH19" s="218"/>
      <c r="CI19" s="218"/>
      <c r="CJ19" s="183"/>
      <c r="CK19" s="18"/>
      <c r="CL19" s="24"/>
      <c r="CM19" s="244">
        <f>'1'!D38</f>
        <v>0</v>
      </c>
      <c r="CN19" s="245"/>
      <c r="CO19" s="24"/>
      <c r="CP19" s="244">
        <f>'1'!D39</f>
        <v>0</v>
      </c>
      <c r="CQ19" s="245"/>
      <c r="CR19" s="24"/>
      <c r="CS19" s="244">
        <f>'1'!D40</f>
        <v>0</v>
      </c>
      <c r="CT19" s="245"/>
      <c r="CU19" s="24"/>
      <c r="CV19" s="110"/>
      <c r="CW19" s="18"/>
      <c r="CX19" s="24"/>
      <c r="CY19" s="110"/>
      <c r="CZ19" s="18"/>
      <c r="DA19" s="24"/>
    </row>
    <row r="20" spans="5:120" ht="13.5" thickBot="1">
      <c r="E20" s="18"/>
      <c r="F20" s="18"/>
      <c r="G20" s="116"/>
      <c r="H20" s="18"/>
      <c r="I20" s="18"/>
      <c r="J20" s="116"/>
      <c r="K20" s="18"/>
      <c r="L20" s="18"/>
      <c r="M20" s="116"/>
      <c r="N20" s="18"/>
      <c r="O20" s="24"/>
      <c r="P20" s="116"/>
      <c r="Q20" s="18"/>
      <c r="R20" s="18"/>
      <c r="S20" s="24"/>
      <c r="T20" s="24"/>
      <c r="U20" s="116"/>
      <c r="V20" s="18"/>
      <c r="W20" s="24"/>
      <c r="X20" s="116"/>
      <c r="Y20" s="18"/>
      <c r="Z20" s="24"/>
      <c r="AA20" s="116"/>
      <c r="AB20" s="18"/>
      <c r="AC20" s="18"/>
      <c r="AD20" s="116"/>
      <c r="AE20" s="18"/>
      <c r="AF20" s="24"/>
      <c r="AG20" s="116"/>
      <c r="AH20" s="18"/>
      <c r="AI20" s="24"/>
      <c r="AJ20" s="223" t="str">
        <f>'1'!$B$47</f>
        <v xml:space="preserve">Hart Мультиплексор </v>
      </c>
      <c r="AK20" s="224"/>
      <c r="AL20" s="18"/>
      <c r="AM20" s="223" t="str">
        <f>'1'!$B$47</f>
        <v xml:space="preserve">Hart Мультиплексор </v>
      </c>
      <c r="AN20" s="224"/>
      <c r="AO20" s="18"/>
      <c r="AP20" s="18"/>
      <c r="AQ20" s="249" t="str">
        <f>'1'!B48</f>
        <v>Конвертер RS-485/Ethernet</v>
      </c>
      <c r="AR20" s="250"/>
      <c r="AS20" s="18"/>
      <c r="AT20" s="18"/>
      <c r="AU20" s="223" t="str">
        <f>'1'!$B$47</f>
        <v xml:space="preserve">Hart Мультиплексор </v>
      </c>
      <c r="AV20" s="224"/>
      <c r="AW20" s="18"/>
      <c r="AX20" s="223" t="str">
        <f>'1'!$B$47</f>
        <v xml:space="preserve">Hart Мультиплексор </v>
      </c>
      <c r="AY20" s="224"/>
      <c r="AZ20" s="24"/>
      <c r="BA20" s="116"/>
      <c r="BB20" s="18"/>
      <c r="BC20" s="24"/>
      <c r="BD20" s="116"/>
      <c r="BE20" s="18"/>
      <c r="BF20" s="18"/>
      <c r="BG20" s="24"/>
      <c r="BH20" s="116"/>
      <c r="BI20" s="194" t="str">
        <f>'1'!$C$35</f>
        <v>АРКС400.KDI.8DC24</v>
      </c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5"/>
      <c r="BU20" s="195"/>
      <c r="BV20" s="195"/>
      <c r="BW20" s="196"/>
      <c r="BX20" s="24"/>
      <c r="BY20" s="188" t="str">
        <f>'1'!$C$34</f>
        <v>АРКС400.KDI.8AC220</v>
      </c>
      <c r="BZ20" s="189"/>
      <c r="CA20" s="136"/>
      <c r="CB20" s="188" t="str">
        <f>'1'!$C$36</f>
        <v>АРКС400.KDO.8R</v>
      </c>
      <c r="CC20" s="192"/>
      <c r="CD20" s="113"/>
      <c r="CE20" s="188" t="str">
        <f>'1'!$C$37</f>
        <v>АРКС400.KDO.8SR</v>
      </c>
      <c r="CF20" s="202"/>
      <c r="CG20" s="202"/>
      <c r="CH20" s="202"/>
      <c r="CI20" s="202"/>
      <c r="CJ20" s="192"/>
      <c r="CK20" s="18"/>
      <c r="CL20" s="24"/>
      <c r="CM20" s="225" t="str">
        <f>'1'!C38</f>
        <v>YN-SI2700AE RM</v>
      </c>
      <c r="CN20" s="226"/>
      <c r="CO20" s="24"/>
      <c r="CP20" s="225" t="str">
        <f>'1'!C39</f>
        <v>MGate 5111</v>
      </c>
      <c r="CQ20" s="226"/>
      <c r="CR20" s="24"/>
      <c r="CS20" s="225" t="str">
        <f>'1'!C40</f>
        <v>G0313</v>
      </c>
      <c r="CT20" s="226"/>
      <c r="CU20" s="24"/>
      <c r="CV20" s="110"/>
      <c r="CW20" s="115"/>
      <c r="CX20" s="24"/>
      <c r="CY20" s="110"/>
      <c r="CZ20" s="115"/>
      <c r="DA20" s="24"/>
    </row>
    <row r="21" spans="5:120" ht="13.5" customHeight="1" thickBot="1">
      <c r="E21" s="18"/>
      <c r="F21" s="18"/>
      <c r="G21" s="116"/>
      <c r="H21" s="18"/>
      <c r="I21" s="18"/>
      <c r="J21" s="116"/>
      <c r="K21" s="18"/>
      <c r="L21" s="18"/>
      <c r="M21" s="116"/>
      <c r="N21" s="18"/>
      <c r="O21" s="24"/>
      <c r="P21" s="116"/>
      <c r="Q21" s="18"/>
      <c r="R21" s="18"/>
      <c r="S21" s="24"/>
      <c r="T21" s="24"/>
      <c r="U21" s="116"/>
      <c r="V21" s="18"/>
      <c r="W21" s="24"/>
      <c r="X21" s="116"/>
      <c r="Y21" s="18"/>
      <c r="Z21" s="24"/>
      <c r="AA21" s="116"/>
      <c r="AB21" s="18"/>
      <c r="AC21" s="18"/>
      <c r="AD21" s="116"/>
      <c r="AE21" s="18"/>
      <c r="AF21" s="24"/>
      <c r="AG21" s="116"/>
      <c r="AH21" s="18"/>
      <c r="AI21" s="24"/>
      <c r="AJ21" s="220" t="str">
        <f>'1'!$C$47</f>
        <v>TREI S240HC-0</v>
      </c>
      <c r="AK21" s="221"/>
      <c r="AL21" s="153"/>
      <c r="AM21" s="220" t="str">
        <f>'1'!$C$47</f>
        <v>TREI S240HC-0</v>
      </c>
      <c r="AN21" s="221"/>
      <c r="AO21" s="153"/>
      <c r="AP21" s="152"/>
      <c r="AQ21" s="220" t="str">
        <f>'1'!C48</f>
        <v>tDS-718 CR</v>
      </c>
      <c r="AR21" s="222"/>
      <c r="AS21" s="151"/>
      <c r="AT21" s="153"/>
      <c r="AU21" s="220" t="str">
        <f>'1'!$C$47</f>
        <v>TREI S240HC-0</v>
      </c>
      <c r="AV21" s="221"/>
      <c r="AW21" s="18"/>
      <c r="AX21" s="220" t="str">
        <f>'1'!$C$47</f>
        <v>TREI S240HC-0</v>
      </c>
      <c r="AY21" s="221"/>
      <c r="AZ21" s="24"/>
      <c r="BA21" s="116"/>
      <c r="BB21" s="18"/>
      <c r="BC21" s="24"/>
      <c r="BD21" s="116"/>
      <c r="BE21" s="18"/>
      <c r="BF21" s="18"/>
      <c r="BG21" s="24"/>
      <c r="BH21" s="116"/>
      <c r="BI21" s="197" t="s">
        <v>160</v>
      </c>
      <c r="BJ21" s="198"/>
      <c r="BK21" s="198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V21" s="198"/>
      <c r="BW21" s="199"/>
      <c r="BX21" s="24"/>
      <c r="BY21" s="190" t="s">
        <v>159</v>
      </c>
      <c r="BZ21" s="191"/>
      <c r="CA21" s="136"/>
      <c r="CB21" s="190" t="s">
        <v>161</v>
      </c>
      <c r="CC21" s="193"/>
      <c r="CD21" s="113"/>
      <c r="CE21" s="190" t="s">
        <v>278</v>
      </c>
      <c r="CF21" s="203"/>
      <c r="CG21" s="203"/>
      <c r="CH21" s="203"/>
      <c r="CI21" s="203"/>
      <c r="CJ21" s="193"/>
      <c r="CK21" s="18"/>
      <c r="CL21" s="24"/>
      <c r="CM21" s="26" t="s">
        <v>15</v>
      </c>
      <c r="CN21" s="27">
        <f>VLOOKUP($CM$20,Service!$E$56:$F$59,2,0)</f>
        <v>8</v>
      </c>
      <c r="CO21" s="24"/>
      <c r="CP21" s="26" t="s">
        <v>15</v>
      </c>
      <c r="CQ21" s="27">
        <f>VLOOKUP(CP20,Service!E60:F62,2,0)</f>
        <v>1</v>
      </c>
      <c r="CR21" s="24"/>
      <c r="CS21" s="26" t="s">
        <v>15</v>
      </c>
      <c r="CT21" s="27">
        <f>VLOOKUP(CS20,Service!E63:F65,2,0)</f>
        <v>1</v>
      </c>
      <c r="CU21" s="24"/>
      <c r="CV21" s="110"/>
      <c r="CW21" s="18"/>
      <c r="CX21" s="24"/>
      <c r="CY21" s="110"/>
      <c r="CZ21" s="18"/>
      <c r="DA21" s="24"/>
    </row>
    <row r="22" spans="5:120" ht="13.5" thickBot="1">
      <c r="E22" s="18"/>
      <c r="F22" s="18"/>
      <c r="G22" s="116"/>
      <c r="H22" s="120"/>
      <c r="I22" s="120"/>
      <c r="J22" s="116"/>
      <c r="K22" s="120"/>
      <c r="L22" s="120"/>
      <c r="M22" s="116"/>
      <c r="N22" s="120"/>
      <c r="O22" s="24"/>
      <c r="P22" s="116"/>
      <c r="Q22" s="120"/>
      <c r="R22" s="120"/>
      <c r="S22" s="24"/>
      <c r="T22" s="24"/>
      <c r="U22" s="116"/>
      <c r="V22" s="120"/>
      <c r="W22" s="24"/>
      <c r="X22" s="116"/>
      <c r="Y22" s="120"/>
      <c r="Z22" s="24"/>
      <c r="AA22" s="116"/>
      <c r="AB22" s="120"/>
      <c r="AC22" s="120"/>
      <c r="AD22" s="116"/>
      <c r="AE22" s="120"/>
      <c r="AF22" s="24"/>
      <c r="AG22" s="116"/>
      <c r="AH22" s="120"/>
      <c r="AI22" s="24"/>
      <c r="AJ22" s="148" t="s">
        <v>15</v>
      </c>
      <c r="AK22" s="154">
        <f>VLOOKUP(AJ21,Service!$E$131:$F$140,2,0)</f>
        <v>16</v>
      </c>
      <c r="AL22" s="24"/>
      <c r="AM22" s="148" t="s">
        <v>15</v>
      </c>
      <c r="AN22" s="154">
        <f>VLOOKUP(AM21,Service!$E$131:$F$140,2,0)</f>
        <v>16</v>
      </c>
      <c r="AO22" s="24"/>
      <c r="AP22" s="24"/>
      <c r="AQ22" s="148" t="s">
        <v>15</v>
      </c>
      <c r="AR22" s="149">
        <f>VLOOKUP(AQ21,Service!E141:F150,2,0)</f>
        <v>1</v>
      </c>
      <c r="AS22" s="150"/>
      <c r="AT22" s="24"/>
      <c r="AU22" s="148" t="s">
        <v>15</v>
      </c>
      <c r="AV22" s="154">
        <f>VLOOKUP(AM21,Service!$E$131:$F$140,2,0)</f>
        <v>16</v>
      </c>
      <c r="AW22" s="24"/>
      <c r="AX22" s="148" t="s">
        <v>15</v>
      </c>
      <c r="AY22" s="154">
        <f>VLOOKUP(AM21,Service!$E$131:$F$140,2,0)</f>
        <v>16</v>
      </c>
      <c r="AZ22" s="24"/>
      <c r="BA22" s="116"/>
      <c r="BB22" s="120"/>
      <c r="BC22" s="24"/>
      <c r="BD22" s="116"/>
      <c r="BE22" s="120"/>
      <c r="BF22" s="120"/>
      <c r="BG22" s="24"/>
      <c r="BH22" s="116"/>
      <c r="BI22" s="200" t="s">
        <v>15</v>
      </c>
      <c r="BJ22" s="201"/>
      <c r="BK22" s="201"/>
      <c r="BL22" s="201"/>
      <c r="BM22" s="201"/>
      <c r="BN22" s="201"/>
      <c r="BO22" s="201"/>
      <c r="BP22" s="201"/>
      <c r="BQ22" s="201"/>
      <c r="BR22" s="201"/>
      <c r="BS22" s="201"/>
      <c r="BT22" s="201"/>
      <c r="BU22" s="201"/>
      <c r="BV22" s="201"/>
      <c r="BW22" s="15">
        <v>8</v>
      </c>
      <c r="BX22" s="24"/>
      <c r="BY22" s="82" t="s">
        <v>15</v>
      </c>
      <c r="BZ22" s="83">
        <v>8</v>
      </c>
      <c r="CA22" s="24"/>
      <c r="CB22" s="82" t="s">
        <v>15</v>
      </c>
      <c r="CC22" s="83">
        <v>8</v>
      </c>
      <c r="CD22" s="132"/>
      <c r="CE22" s="207" t="s">
        <v>15</v>
      </c>
      <c r="CF22" s="208"/>
      <c r="CG22" s="208"/>
      <c r="CH22" s="208"/>
      <c r="CI22" s="208"/>
      <c r="CJ22" s="59">
        <v>8</v>
      </c>
      <c r="CK22" s="18"/>
      <c r="CL22" s="24"/>
      <c r="CM22" s="108"/>
      <c r="CN22" s="18"/>
      <c r="CO22" s="18"/>
      <c r="CP22" s="108"/>
      <c r="CQ22" s="18"/>
      <c r="CR22" s="18"/>
      <c r="CS22" s="108"/>
      <c r="CT22" s="18"/>
      <c r="CU22" s="18"/>
      <c r="CV22" s="117"/>
      <c r="CW22" s="120"/>
      <c r="CX22" s="18"/>
      <c r="CY22" s="117"/>
      <c r="CZ22" s="120"/>
      <c r="DA22" s="24"/>
    </row>
    <row r="23" spans="5:120" ht="13.5" thickBot="1">
      <c r="E23" s="18"/>
      <c r="F23" s="18"/>
      <c r="G23" s="116"/>
      <c r="H23" s="120"/>
      <c r="I23" s="24"/>
      <c r="J23" s="116"/>
      <c r="K23" s="24"/>
      <c r="L23" s="24"/>
      <c r="M23" s="116"/>
      <c r="N23" s="120"/>
      <c r="O23" s="24"/>
      <c r="P23" s="116"/>
      <c r="Q23" s="24"/>
      <c r="R23" s="24"/>
      <c r="S23" s="24"/>
      <c r="T23" s="24"/>
      <c r="U23" s="116"/>
      <c r="V23" s="120"/>
      <c r="W23" s="24"/>
      <c r="X23" s="116"/>
      <c r="Y23" s="120"/>
      <c r="Z23" s="24"/>
      <c r="AA23" s="116"/>
      <c r="AB23" s="24"/>
      <c r="AC23" s="24"/>
      <c r="AD23" s="116"/>
      <c r="AE23" s="120"/>
      <c r="AF23" s="24"/>
      <c r="AG23" s="116"/>
      <c r="AH23" s="24"/>
      <c r="AI23" s="24"/>
      <c r="AJ23" s="155"/>
      <c r="AK23" s="119"/>
      <c r="AL23" s="24"/>
      <c r="AM23" s="114"/>
      <c r="AN23" s="119"/>
      <c r="AO23" s="24"/>
      <c r="AP23" s="24"/>
      <c r="AQ23" s="147"/>
      <c r="AR23" s="147"/>
      <c r="AS23" s="24"/>
      <c r="AT23" s="24"/>
      <c r="AU23" s="7"/>
      <c r="AV23" s="84"/>
      <c r="AW23" s="24"/>
      <c r="AX23" s="116"/>
      <c r="AY23" s="24"/>
      <c r="AZ23" s="24"/>
      <c r="BA23" s="116"/>
      <c r="BB23" s="120"/>
      <c r="BC23" s="24"/>
      <c r="BD23" s="116"/>
      <c r="BE23" s="24"/>
      <c r="BF23" s="24"/>
      <c r="BG23" s="24"/>
      <c r="BH23" s="24"/>
      <c r="BI23" s="7"/>
      <c r="BJ23" s="84"/>
      <c r="BK23" s="24"/>
      <c r="BL23" s="116"/>
      <c r="BM23" s="18"/>
      <c r="BN23" s="24"/>
      <c r="BO23" s="7"/>
      <c r="BP23" s="84"/>
      <c r="BQ23" s="24"/>
      <c r="BR23" s="7"/>
      <c r="BS23" s="84"/>
      <c r="BT23" s="24"/>
      <c r="BU23" s="116"/>
      <c r="BV23" s="120"/>
      <c r="BW23" s="18"/>
      <c r="BX23" s="24"/>
      <c r="BY23" s="116"/>
      <c r="BZ23" s="18"/>
      <c r="CA23" s="24"/>
      <c r="CB23" s="116"/>
      <c r="CC23" s="18"/>
      <c r="CD23" s="24"/>
      <c r="CE23" s="7"/>
      <c r="CG23" s="24"/>
      <c r="CH23" s="116"/>
      <c r="CI23" s="24"/>
      <c r="CJ23" s="24"/>
      <c r="CK23" s="18"/>
      <c r="CL23" s="24"/>
      <c r="CM23" s="108"/>
      <c r="CN23" s="24"/>
      <c r="CO23" s="24"/>
      <c r="CP23" s="108"/>
      <c r="CQ23" s="24"/>
      <c r="CR23" s="24"/>
      <c r="CS23" s="108"/>
      <c r="CT23" s="24"/>
      <c r="CU23" s="24"/>
      <c r="CV23" s="117"/>
      <c r="CW23" s="24"/>
      <c r="CX23" s="24"/>
      <c r="CY23" s="117"/>
      <c r="CZ23" s="24"/>
      <c r="DA23" s="24"/>
    </row>
    <row r="24" spans="5:120" ht="12.75" customHeight="1">
      <c r="E24" s="18"/>
      <c r="G24" s="176">
        <f>ROUNDUP(H38/H26,0)</f>
        <v>1</v>
      </c>
      <c r="H24" s="177"/>
      <c r="I24" s="18"/>
      <c r="J24" s="116"/>
      <c r="K24" s="24"/>
      <c r="L24" s="24"/>
      <c r="M24" s="176">
        <f>ROUNDUP(N38/N26,0)</f>
        <v>3</v>
      </c>
      <c r="N24" s="177"/>
      <c r="O24" s="24"/>
      <c r="P24" s="116"/>
      <c r="Q24" s="18"/>
      <c r="R24" s="18"/>
      <c r="S24" s="24"/>
      <c r="T24" s="24"/>
      <c r="U24" s="176">
        <f>ROUNDUP(V38/V26,0)</f>
        <v>5</v>
      </c>
      <c r="V24" s="177"/>
      <c r="W24" s="24"/>
      <c r="X24" s="176">
        <f>ROUNDUP(Y38/Y26,0)</f>
        <v>6</v>
      </c>
      <c r="Y24" s="177"/>
      <c r="Z24" s="24"/>
      <c r="AA24" s="116"/>
      <c r="AB24" s="18"/>
      <c r="AC24" s="18"/>
      <c r="AD24" s="176">
        <f>ROUNDUP(AE38/AE26,0)</f>
        <v>8</v>
      </c>
      <c r="AE24" s="177"/>
      <c r="AF24" s="24"/>
      <c r="AG24" s="116"/>
      <c r="AH24" s="18"/>
      <c r="AI24" s="24"/>
      <c r="AJ24" s="182">
        <f>ROUNDUP(AK38/AK26,0)</f>
        <v>10</v>
      </c>
      <c r="AK24" s="183"/>
      <c r="AL24" s="24"/>
      <c r="AM24" s="114"/>
      <c r="AN24" s="119"/>
      <c r="AO24" s="24"/>
      <c r="AP24" s="24"/>
      <c r="AQ24" s="24"/>
      <c r="AR24" s="24"/>
      <c r="AS24" s="24"/>
      <c r="AT24" s="24"/>
      <c r="AU24" s="176">
        <f>ROUNDUP(AV38/AV26,0)</f>
        <v>12</v>
      </c>
      <c r="AV24" s="177"/>
      <c r="AW24" s="24"/>
      <c r="AX24" s="116"/>
      <c r="AY24" s="18"/>
      <c r="AZ24" s="24"/>
      <c r="BA24" s="176">
        <f>ROUNDUP(BB38/BB26,0)</f>
        <v>14</v>
      </c>
      <c r="BB24" s="177"/>
      <c r="BC24" s="24"/>
      <c r="BD24" s="116"/>
      <c r="BE24" s="18"/>
      <c r="BF24" s="18"/>
      <c r="BG24" s="24"/>
      <c r="BH24" s="24"/>
      <c r="BI24" s="176">
        <f>ROUNDUP(BJ38/BJ26,0)</f>
        <v>16</v>
      </c>
      <c r="BJ24" s="177"/>
      <c r="BK24" s="24"/>
      <c r="BL24" s="116"/>
      <c r="BM24" s="24"/>
      <c r="BN24" s="24"/>
      <c r="BO24" s="176">
        <f>ROUNDUP(BP38/BP26,0)</f>
        <v>18</v>
      </c>
      <c r="BP24" s="177"/>
      <c r="BQ24" s="24"/>
      <c r="BR24" s="176">
        <f>ROUNDUP(BS38/BS26,0)</f>
        <v>23</v>
      </c>
      <c r="BS24" s="177"/>
      <c r="BT24" s="24"/>
      <c r="BU24" s="116"/>
      <c r="BV24" s="24"/>
      <c r="BW24" s="18"/>
      <c r="BX24" s="24"/>
      <c r="BY24" s="116"/>
      <c r="BZ24" s="24"/>
      <c r="CA24" s="24"/>
      <c r="CB24" s="116"/>
      <c r="CC24" s="24"/>
      <c r="CD24" s="18"/>
      <c r="CE24" s="176">
        <f>ROUNDUP(CF38/CF26,0)</f>
        <v>21</v>
      </c>
      <c r="CF24" s="177"/>
      <c r="CG24" s="24"/>
      <c r="CH24" s="116"/>
      <c r="CI24" s="18"/>
      <c r="CJ24" s="18"/>
      <c r="CK24" s="18"/>
      <c r="CL24" s="24"/>
      <c r="CM24" s="108"/>
      <c r="CN24" s="18"/>
      <c r="CO24" s="18"/>
      <c r="CP24" s="108"/>
      <c r="CQ24" s="18"/>
      <c r="CR24" s="18"/>
      <c r="CS24" s="108"/>
      <c r="CT24" s="18"/>
      <c r="CU24" s="18"/>
      <c r="CV24" s="117"/>
      <c r="CW24" s="18"/>
      <c r="CX24" s="18"/>
      <c r="CY24" s="117"/>
      <c r="CZ24" s="18"/>
      <c r="DA24" s="24"/>
    </row>
    <row r="25" spans="5:120" s="60" customFormat="1" ht="15.75" customHeight="1">
      <c r="E25" s="118"/>
      <c r="G25" s="184" t="str">
        <f>'1'!C49</f>
        <v>ЛПА-350-110</v>
      </c>
      <c r="H25" s="185"/>
      <c r="I25" s="109"/>
      <c r="J25" s="114"/>
      <c r="K25" s="119"/>
      <c r="L25" s="119"/>
      <c r="M25" s="184" t="str">
        <f>'1'!C50</f>
        <v>БИ-004-Б</v>
      </c>
      <c r="N25" s="185"/>
      <c r="O25" s="118"/>
      <c r="P25" s="114"/>
      <c r="Q25" s="119"/>
      <c r="R25" s="119"/>
      <c r="S25" s="119"/>
      <c r="T25" s="119"/>
      <c r="U25" s="184" t="str">
        <f>'1'!C51</f>
        <v>ЛПА-151-111</v>
      </c>
      <c r="V25" s="185"/>
      <c r="W25" s="118"/>
      <c r="X25" s="184" t="str">
        <f>'1'!C52</f>
        <v>ЛПА-310-100</v>
      </c>
      <c r="Y25" s="185"/>
      <c r="Z25" s="118"/>
      <c r="AA25" s="114"/>
      <c r="AB25" s="119"/>
      <c r="AC25" s="119"/>
      <c r="AD25" s="184" t="str">
        <f>'1'!C52</f>
        <v>ЛПА-310-100</v>
      </c>
      <c r="AE25" s="185"/>
      <c r="AF25" s="118"/>
      <c r="AG25" s="114"/>
      <c r="AH25" s="119"/>
      <c r="AI25" s="118"/>
      <c r="AJ25" s="251" t="str">
        <f>'1'!C52</f>
        <v>ЛПА-310-100</v>
      </c>
      <c r="AK25" s="252"/>
      <c r="AL25" s="118"/>
      <c r="AM25" s="114"/>
      <c r="AN25" s="119"/>
      <c r="AO25" s="119"/>
      <c r="AP25" s="118"/>
      <c r="AQ25" s="118"/>
      <c r="AR25" s="118"/>
      <c r="AS25" s="118"/>
      <c r="AT25" s="118"/>
      <c r="AU25" s="184" t="str">
        <f>'1'!C52</f>
        <v>ЛПА-310-100</v>
      </c>
      <c r="AV25" s="185"/>
      <c r="AW25" s="118"/>
      <c r="AX25" s="114"/>
      <c r="AY25" s="119"/>
      <c r="AZ25" s="118"/>
      <c r="BA25" s="184" t="str">
        <f>'1'!C52</f>
        <v>ЛПА-310-100</v>
      </c>
      <c r="BB25" s="185"/>
      <c r="BC25" s="118"/>
      <c r="BD25" s="114"/>
      <c r="BE25" s="119"/>
      <c r="BF25" s="119"/>
      <c r="BG25" s="118"/>
      <c r="BH25" s="118"/>
      <c r="BI25" s="184" t="str">
        <f>'1'!$C$53</f>
        <v>ЛПА-340-100</v>
      </c>
      <c r="BJ25" s="185"/>
      <c r="BK25" s="118"/>
      <c r="BL25" s="116"/>
      <c r="BM25" s="24"/>
      <c r="BN25" s="118"/>
      <c r="BO25" s="184" t="str">
        <f>'1'!$C$54</f>
        <v>ЛПА-340-100</v>
      </c>
      <c r="BP25" s="185"/>
      <c r="BQ25" s="118"/>
      <c r="BR25" s="184" t="str">
        <f>'1'!C55</f>
        <v>ЛПА-142-101</v>
      </c>
      <c r="BS25" s="185"/>
      <c r="BT25" s="118"/>
      <c r="BU25" s="116"/>
      <c r="BV25" s="24"/>
      <c r="BW25" s="18"/>
      <c r="BX25" s="118"/>
      <c r="BY25" s="116"/>
      <c r="BZ25" s="24"/>
      <c r="CA25" s="118"/>
      <c r="CB25" s="116"/>
      <c r="CC25" s="24"/>
      <c r="CD25" s="119"/>
      <c r="CE25" s="184" t="str">
        <f>'1'!$C$53</f>
        <v>ЛПА-340-100</v>
      </c>
      <c r="CF25" s="185"/>
      <c r="CG25" s="118"/>
      <c r="CH25" s="114"/>
      <c r="CI25" s="119"/>
      <c r="CJ25" s="119"/>
      <c r="CK25" s="18"/>
      <c r="CL25" s="118"/>
      <c r="CM25" s="112"/>
      <c r="CN25" s="119"/>
      <c r="CO25" s="119"/>
      <c r="CP25" s="112"/>
      <c r="CQ25" s="119"/>
      <c r="CR25" s="119"/>
      <c r="CS25" s="112"/>
      <c r="CT25" s="119"/>
      <c r="CU25" s="119"/>
      <c r="CV25" s="125"/>
      <c r="CW25" s="111"/>
      <c r="CX25" s="119"/>
      <c r="CY25" s="125"/>
      <c r="CZ25" s="111"/>
      <c r="DA25" s="118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</row>
    <row r="26" spans="5:120" ht="13.5" thickBot="1">
      <c r="E26" s="18"/>
      <c r="G26" s="82" t="s">
        <v>15</v>
      </c>
      <c r="H26" s="83">
        <f>VLOOKUP(G25,Service!$E$151:$F$162,2,0)</f>
        <v>1</v>
      </c>
      <c r="I26" s="18"/>
      <c r="J26" s="116"/>
      <c r="K26" s="18"/>
      <c r="L26" s="18"/>
      <c r="M26" s="82" t="s">
        <v>15</v>
      </c>
      <c r="N26" s="83">
        <f>VLOOKUP(M25,Service!E163:F174,2,0)</f>
        <v>1</v>
      </c>
      <c r="O26" s="24"/>
      <c r="P26" s="116"/>
      <c r="Q26" s="18"/>
      <c r="R26" s="24"/>
      <c r="S26" s="24"/>
      <c r="T26" s="24"/>
      <c r="U26" s="82" t="s">
        <v>15</v>
      </c>
      <c r="V26" s="83">
        <f>VLOOKUP(U25,Service!E175:F186,2,0)</f>
        <v>1</v>
      </c>
      <c r="W26" s="24"/>
      <c r="X26" s="82" t="s">
        <v>15</v>
      </c>
      <c r="Y26" s="83">
        <f>VLOOKUP(X25,Service!$E$187:$F$198,2,0)</f>
        <v>1</v>
      </c>
      <c r="Z26" s="24"/>
      <c r="AA26" s="116"/>
      <c r="AB26" s="18"/>
      <c r="AC26" s="24"/>
      <c r="AD26" s="82" t="s">
        <v>15</v>
      </c>
      <c r="AE26" s="83">
        <f>VLOOKUP(AD25,Service!$E$187:$F$198,2,0)</f>
        <v>1</v>
      </c>
      <c r="AF26" s="24"/>
      <c r="AG26" s="116"/>
      <c r="AH26" s="18"/>
      <c r="AI26" s="24"/>
      <c r="AJ26" s="82" t="s">
        <v>15</v>
      </c>
      <c r="AK26" s="83">
        <f>VLOOKUP(AJ25,Service!$E$187:$F$198,2,0)</f>
        <v>1</v>
      </c>
      <c r="AL26" s="24"/>
      <c r="AM26" s="116"/>
      <c r="AN26" s="18"/>
      <c r="AO26" s="24"/>
      <c r="AP26" s="24"/>
      <c r="AQ26" s="24"/>
      <c r="AR26" s="24"/>
      <c r="AS26" s="24"/>
      <c r="AT26" s="24"/>
      <c r="AU26" s="82" t="s">
        <v>15</v>
      </c>
      <c r="AV26" s="83">
        <f>VLOOKUP(AU25,Service!$E$187:$F$198,2,0)</f>
        <v>1</v>
      </c>
      <c r="AW26" s="24"/>
      <c r="AX26" s="116"/>
      <c r="AY26" s="18"/>
      <c r="AZ26" s="24"/>
      <c r="BA26" s="82" t="s">
        <v>15</v>
      </c>
      <c r="BB26" s="83">
        <f>VLOOKUP(BA25,Service!$E$187:$F$198,2,0)</f>
        <v>1</v>
      </c>
      <c r="BC26" s="24"/>
      <c r="BD26" s="116"/>
      <c r="BE26" s="18"/>
      <c r="BF26" s="18"/>
      <c r="BG26" s="24"/>
      <c r="BH26" s="24"/>
      <c r="BI26" s="82" t="s">
        <v>15</v>
      </c>
      <c r="BJ26" s="83">
        <f>VLOOKUP(BI25,Service!$E$199:$F$209,2,0)</f>
        <v>1</v>
      </c>
      <c r="BK26" s="24"/>
      <c r="BL26" s="116"/>
      <c r="BM26" s="18"/>
      <c r="BN26" s="24"/>
      <c r="BO26" s="82" t="s">
        <v>15</v>
      </c>
      <c r="BP26" s="83">
        <f>VLOOKUP(BO25,Service!$E$210:$F$220,2,0)</f>
        <v>1</v>
      </c>
      <c r="BQ26" s="24"/>
      <c r="BR26" s="82" t="s">
        <v>15</v>
      </c>
      <c r="BS26" s="83">
        <f>VLOOKUP(BR25,Service!E221:F227,2,0)</f>
        <v>1</v>
      </c>
      <c r="BT26" s="24"/>
      <c r="BU26" s="116"/>
      <c r="BV26" s="18"/>
      <c r="BW26" s="18"/>
      <c r="BX26" s="24"/>
      <c r="BY26" s="116"/>
      <c r="BZ26" s="18"/>
      <c r="CA26" s="24"/>
      <c r="CB26" s="116"/>
      <c r="CC26" s="18"/>
      <c r="CD26" s="18"/>
      <c r="CE26" s="82" t="s">
        <v>15</v>
      </c>
      <c r="CF26" s="83">
        <f>VLOOKUP(CE25,Service!$E$199:$F$209,2,0)</f>
        <v>1</v>
      </c>
      <c r="CG26" s="24"/>
      <c r="CH26" s="116"/>
      <c r="CI26" s="24"/>
      <c r="CJ26" s="119"/>
      <c r="CK26" s="24"/>
      <c r="CL26" s="24"/>
      <c r="CM26" s="108"/>
      <c r="CN26" s="24"/>
      <c r="CO26" s="24"/>
      <c r="CP26" s="108"/>
      <c r="CQ26" s="24"/>
      <c r="CR26" s="24"/>
      <c r="CS26" s="108"/>
      <c r="CT26" s="24"/>
      <c r="CU26" s="24"/>
      <c r="CV26" s="117"/>
      <c r="CW26" s="120"/>
      <c r="CX26" s="24"/>
      <c r="CY26" s="117"/>
      <c r="CZ26" s="120"/>
      <c r="DA26" s="24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</row>
    <row r="27" spans="5:120" s="6" customFormat="1" ht="13.5" thickBot="1">
      <c r="E27" s="122"/>
      <c r="F27" s="122"/>
      <c r="G27" s="121"/>
      <c r="H27" s="24"/>
      <c r="I27" s="122"/>
      <c r="J27" s="121"/>
      <c r="K27" s="24"/>
      <c r="L27" s="24"/>
      <c r="M27" s="121"/>
      <c r="N27" s="24"/>
      <c r="O27" s="122"/>
      <c r="P27" s="116"/>
      <c r="Q27" s="120"/>
      <c r="R27" s="24"/>
      <c r="S27" s="24"/>
      <c r="T27" s="24"/>
      <c r="U27" s="121"/>
      <c r="V27" s="24"/>
      <c r="W27" s="122"/>
      <c r="X27" s="121"/>
      <c r="Y27" s="24"/>
      <c r="Z27" s="122"/>
      <c r="AA27" s="116"/>
      <c r="AB27" s="120"/>
      <c r="AC27" s="24"/>
      <c r="AD27" s="121"/>
      <c r="AE27" s="24"/>
      <c r="AF27" s="122"/>
      <c r="AG27" s="116"/>
      <c r="AH27" s="120"/>
      <c r="AI27" s="122"/>
      <c r="AJ27" s="121"/>
      <c r="AK27" s="24"/>
      <c r="AL27" s="122"/>
      <c r="AM27" s="116"/>
      <c r="AN27" s="120"/>
      <c r="AO27" s="24"/>
      <c r="AP27" s="122"/>
      <c r="AQ27" s="122"/>
      <c r="AR27" s="122"/>
      <c r="AS27" s="122"/>
      <c r="AT27" s="122"/>
      <c r="AU27" s="121"/>
      <c r="AV27" s="24"/>
      <c r="AW27" s="122"/>
      <c r="AX27" s="116"/>
      <c r="AY27" s="120"/>
      <c r="AZ27" s="122"/>
      <c r="BA27" s="121"/>
      <c r="BB27" s="24"/>
      <c r="BC27" s="122"/>
      <c r="BD27" s="116"/>
      <c r="BE27" s="120"/>
      <c r="BF27" s="120"/>
      <c r="BG27" s="122"/>
      <c r="BH27" s="122"/>
      <c r="BI27" s="121"/>
      <c r="BJ27" s="24"/>
      <c r="BK27" s="122"/>
      <c r="BL27" s="116"/>
      <c r="BM27" s="120"/>
      <c r="BN27" s="122"/>
      <c r="BO27" s="121"/>
      <c r="BP27" s="24"/>
      <c r="BQ27" s="122"/>
      <c r="BR27" s="121"/>
      <c r="BS27" s="24"/>
      <c r="BT27" s="122"/>
      <c r="BU27" s="116"/>
      <c r="BV27" s="120"/>
      <c r="BW27" s="18"/>
      <c r="BX27" s="122"/>
      <c r="BY27" s="116"/>
      <c r="BZ27" s="120"/>
      <c r="CA27" s="122"/>
      <c r="CB27" s="116"/>
      <c r="CC27" s="120"/>
      <c r="CD27" s="120"/>
      <c r="CE27" s="121"/>
      <c r="CF27" s="24"/>
      <c r="CG27" s="122"/>
      <c r="CH27" s="116"/>
      <c r="CI27" s="18"/>
      <c r="CJ27" s="119"/>
      <c r="CK27" s="18"/>
      <c r="CL27" s="122"/>
      <c r="CM27" s="108"/>
      <c r="CN27" s="18"/>
      <c r="CO27" s="18"/>
      <c r="CP27" s="108"/>
      <c r="CQ27" s="18"/>
      <c r="CR27" s="18"/>
      <c r="CS27" s="108"/>
      <c r="CT27" s="18"/>
      <c r="CU27" s="18"/>
      <c r="CV27" s="117"/>
      <c r="CW27" s="18"/>
      <c r="CX27" s="18"/>
      <c r="CY27" s="117"/>
      <c r="CZ27" s="18"/>
      <c r="DA27" s="12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</row>
    <row r="28" spans="5:120">
      <c r="E28" s="18"/>
      <c r="G28" s="176" t="s">
        <v>20</v>
      </c>
      <c r="H28" s="177"/>
      <c r="I28" s="18"/>
      <c r="J28" s="176" t="s">
        <v>20</v>
      </c>
      <c r="K28" s="177"/>
      <c r="L28" s="24"/>
      <c r="M28" s="176" t="s">
        <v>20</v>
      </c>
      <c r="N28" s="177"/>
      <c r="O28" s="18"/>
      <c r="P28" s="176" t="s">
        <v>20</v>
      </c>
      <c r="Q28" s="177"/>
      <c r="R28" s="24"/>
      <c r="S28" s="24"/>
      <c r="T28" s="24"/>
      <c r="U28" s="176" t="s">
        <v>20</v>
      </c>
      <c r="V28" s="177"/>
      <c r="W28" s="18"/>
      <c r="X28" s="176" t="s">
        <v>20</v>
      </c>
      <c r="Y28" s="177"/>
      <c r="Z28" s="18"/>
      <c r="AA28" s="176" t="s">
        <v>20</v>
      </c>
      <c r="AB28" s="177"/>
      <c r="AC28" s="24"/>
      <c r="AD28" s="176" t="s">
        <v>20</v>
      </c>
      <c r="AE28" s="177"/>
      <c r="AF28" s="18"/>
      <c r="AG28" s="176" t="s">
        <v>20</v>
      </c>
      <c r="AH28" s="177"/>
      <c r="AI28" s="24"/>
      <c r="AJ28" s="176" t="s">
        <v>20</v>
      </c>
      <c r="AK28" s="177"/>
      <c r="AL28" s="18"/>
      <c r="AM28" s="176" t="s">
        <v>20</v>
      </c>
      <c r="AN28" s="177"/>
      <c r="AO28" s="24"/>
      <c r="AP28" s="24"/>
      <c r="AQ28" s="24"/>
      <c r="AR28" s="24"/>
      <c r="AS28" s="24"/>
      <c r="AT28" s="24"/>
      <c r="AU28" s="176" t="s">
        <v>20</v>
      </c>
      <c r="AV28" s="177"/>
      <c r="AW28" s="18"/>
      <c r="AX28" s="176" t="s">
        <v>20</v>
      </c>
      <c r="AY28" s="177"/>
      <c r="AZ28" s="24"/>
      <c r="BA28" s="176" t="s">
        <v>20</v>
      </c>
      <c r="BB28" s="177"/>
      <c r="BC28" s="18"/>
      <c r="BD28" s="176" t="s">
        <v>20</v>
      </c>
      <c r="BE28" s="177"/>
      <c r="BF28" s="18"/>
      <c r="BG28" s="24"/>
      <c r="BH28" s="24"/>
      <c r="BI28" s="176" t="s">
        <v>20</v>
      </c>
      <c r="BJ28" s="177"/>
      <c r="BK28" s="18"/>
      <c r="BL28" s="176" t="s">
        <v>20</v>
      </c>
      <c r="BM28" s="177"/>
      <c r="BN28" s="24"/>
      <c r="BO28" s="176" t="s">
        <v>20</v>
      </c>
      <c r="BP28" s="177"/>
      <c r="BQ28" s="24"/>
      <c r="BR28" s="176" t="s">
        <v>20</v>
      </c>
      <c r="BS28" s="177"/>
      <c r="BT28" s="24"/>
      <c r="BU28" s="176" t="s">
        <v>20</v>
      </c>
      <c r="BV28" s="177"/>
      <c r="BW28" s="18"/>
      <c r="BX28" s="18"/>
      <c r="BY28" s="176" t="s">
        <v>20</v>
      </c>
      <c r="BZ28" s="177"/>
      <c r="CA28" s="18"/>
      <c r="CB28" s="176" t="s">
        <v>20</v>
      </c>
      <c r="CC28" s="177"/>
      <c r="CD28" s="18"/>
      <c r="CE28" s="176" t="s">
        <v>20</v>
      </c>
      <c r="CF28" s="177"/>
      <c r="CG28" s="18"/>
      <c r="CH28" s="176" t="s">
        <v>20</v>
      </c>
      <c r="CI28" s="177"/>
      <c r="CJ28" s="119"/>
      <c r="CK28" s="24"/>
      <c r="CL28" s="24"/>
      <c r="CM28" s="108"/>
      <c r="CN28" s="24"/>
      <c r="CO28" s="24"/>
      <c r="CP28" s="108"/>
      <c r="CQ28" s="24"/>
      <c r="CR28" s="24"/>
      <c r="CS28" s="108"/>
      <c r="CT28" s="24"/>
      <c r="CU28" s="24"/>
      <c r="CV28" s="117"/>
      <c r="CW28" s="18"/>
      <c r="CX28" s="24"/>
      <c r="CY28" s="117"/>
      <c r="CZ28" s="18"/>
      <c r="DA28" s="24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</row>
    <row r="29" spans="5:120">
      <c r="E29" s="18"/>
      <c r="G29" s="186" t="s">
        <v>19</v>
      </c>
      <c r="H29" s="187"/>
      <c r="I29" s="18"/>
      <c r="J29" s="186" t="s">
        <v>19</v>
      </c>
      <c r="K29" s="187"/>
      <c r="L29" s="24"/>
      <c r="M29" s="186" t="s">
        <v>19</v>
      </c>
      <c r="N29" s="187"/>
      <c r="O29" s="18"/>
      <c r="P29" s="186" t="s">
        <v>19</v>
      </c>
      <c r="Q29" s="187"/>
      <c r="R29" s="24"/>
      <c r="S29" s="24"/>
      <c r="T29" s="24"/>
      <c r="U29" s="186" t="s">
        <v>19</v>
      </c>
      <c r="V29" s="187"/>
      <c r="W29" s="18"/>
      <c r="X29" s="186" t="s">
        <v>19</v>
      </c>
      <c r="Y29" s="187"/>
      <c r="Z29" s="18"/>
      <c r="AA29" s="186" t="s">
        <v>19</v>
      </c>
      <c r="AB29" s="187"/>
      <c r="AC29" s="24"/>
      <c r="AD29" s="186" t="s">
        <v>19</v>
      </c>
      <c r="AE29" s="187"/>
      <c r="AF29" s="18"/>
      <c r="AG29" s="186" t="s">
        <v>19</v>
      </c>
      <c r="AH29" s="187"/>
      <c r="AI29" s="24"/>
      <c r="AJ29" s="186" t="s">
        <v>19</v>
      </c>
      <c r="AK29" s="187"/>
      <c r="AL29" s="18"/>
      <c r="AM29" s="186" t="s">
        <v>19</v>
      </c>
      <c r="AN29" s="187"/>
      <c r="AO29" s="24"/>
      <c r="AP29" s="24"/>
      <c r="AQ29" s="24"/>
      <c r="AR29" s="24"/>
      <c r="AS29" s="24"/>
      <c r="AT29" s="24"/>
      <c r="AU29" s="186" t="s">
        <v>19</v>
      </c>
      <c r="AV29" s="187"/>
      <c r="AW29" s="18"/>
      <c r="AX29" s="186" t="s">
        <v>19</v>
      </c>
      <c r="AY29" s="187"/>
      <c r="AZ29" s="24"/>
      <c r="BA29" s="186" t="s">
        <v>19</v>
      </c>
      <c r="BB29" s="187"/>
      <c r="BC29" s="18"/>
      <c r="BD29" s="186" t="s">
        <v>19</v>
      </c>
      <c r="BE29" s="187"/>
      <c r="BF29" s="120"/>
      <c r="BG29" s="24"/>
      <c r="BH29" s="24"/>
      <c r="BI29" s="186" t="s">
        <v>19</v>
      </c>
      <c r="BJ29" s="187"/>
      <c r="BK29" s="18"/>
      <c r="BL29" s="186" t="s">
        <v>19</v>
      </c>
      <c r="BM29" s="187"/>
      <c r="BN29" s="24"/>
      <c r="BO29" s="186" t="s">
        <v>19</v>
      </c>
      <c r="BP29" s="187"/>
      <c r="BQ29" s="24"/>
      <c r="BR29" s="186" t="s">
        <v>19</v>
      </c>
      <c r="BS29" s="187"/>
      <c r="BT29" s="24"/>
      <c r="BU29" s="186" t="s">
        <v>19</v>
      </c>
      <c r="BV29" s="187"/>
      <c r="BW29" s="18"/>
      <c r="BX29" s="18"/>
      <c r="BY29" s="259" t="s">
        <v>19</v>
      </c>
      <c r="BZ29" s="260"/>
      <c r="CA29" s="18"/>
      <c r="CB29" s="259" t="s">
        <v>19</v>
      </c>
      <c r="CC29" s="260"/>
      <c r="CD29" s="24"/>
      <c r="CE29" s="186" t="s">
        <v>19</v>
      </c>
      <c r="CF29" s="187"/>
      <c r="CG29" s="18"/>
      <c r="CH29" s="186" t="s">
        <v>19</v>
      </c>
      <c r="CI29" s="187"/>
      <c r="CJ29" s="119"/>
      <c r="CK29" s="24"/>
      <c r="CL29" s="24"/>
      <c r="CM29" s="108"/>
      <c r="CN29" s="18"/>
      <c r="CO29" s="18"/>
      <c r="CP29" s="108"/>
      <c r="CQ29" s="18"/>
      <c r="CR29" s="18"/>
      <c r="CS29" s="108"/>
      <c r="CT29" s="18"/>
      <c r="CU29" s="18"/>
      <c r="CV29" s="117"/>
      <c r="CW29" s="120"/>
      <c r="CX29" s="18"/>
      <c r="CY29" s="117"/>
      <c r="CZ29" s="120"/>
      <c r="DA29" s="24"/>
    </row>
    <row r="30" spans="5:120" ht="13.5" thickBot="1">
      <c r="E30" s="18"/>
      <c r="G30" s="180">
        <f>G34</f>
        <v>2</v>
      </c>
      <c r="H30" s="181"/>
      <c r="I30" s="18"/>
      <c r="J30" s="180">
        <f>J34</f>
        <v>4</v>
      </c>
      <c r="K30" s="181"/>
      <c r="L30" s="24"/>
      <c r="M30" s="180">
        <f>M34</f>
        <v>12</v>
      </c>
      <c r="N30" s="181"/>
      <c r="O30" s="18"/>
      <c r="P30" s="180">
        <f>P34</f>
        <v>16</v>
      </c>
      <c r="Q30" s="181"/>
      <c r="R30" s="24"/>
      <c r="S30" s="24"/>
      <c r="T30" s="24"/>
      <c r="U30" s="180">
        <f>U34</f>
        <v>20</v>
      </c>
      <c r="V30" s="181"/>
      <c r="W30" s="18"/>
      <c r="X30" s="180">
        <f>X34</f>
        <v>12</v>
      </c>
      <c r="Y30" s="181"/>
      <c r="Z30" s="18"/>
      <c r="AA30" s="180">
        <f>AA34</f>
        <v>14</v>
      </c>
      <c r="AB30" s="181"/>
      <c r="AC30" s="24"/>
      <c r="AD30" s="180">
        <f>AD34</f>
        <v>16</v>
      </c>
      <c r="AE30" s="181"/>
      <c r="AF30" s="18"/>
      <c r="AG30" s="180">
        <f>AG34</f>
        <v>18</v>
      </c>
      <c r="AH30" s="181"/>
      <c r="AI30" s="24"/>
      <c r="AJ30" s="180">
        <f>AJ34</f>
        <v>20</v>
      </c>
      <c r="AK30" s="181"/>
      <c r="AL30" s="18"/>
      <c r="AM30" s="180">
        <f>AM34</f>
        <v>22</v>
      </c>
      <c r="AN30" s="181"/>
      <c r="AO30" s="24"/>
      <c r="AP30" s="24"/>
      <c r="AQ30" s="24"/>
      <c r="AR30" s="24"/>
      <c r="AS30" s="24"/>
      <c r="AT30" s="24"/>
      <c r="AU30" s="180">
        <f>AU34</f>
        <v>24</v>
      </c>
      <c r="AV30" s="181"/>
      <c r="AW30" s="18"/>
      <c r="AX30" s="180">
        <f>AX34</f>
        <v>26</v>
      </c>
      <c r="AY30" s="181"/>
      <c r="AZ30" s="24"/>
      <c r="BA30" s="180">
        <f>BA34</f>
        <v>28</v>
      </c>
      <c r="BB30" s="181"/>
      <c r="BC30" s="18"/>
      <c r="BD30" s="180">
        <f>BD34</f>
        <v>30</v>
      </c>
      <c r="BE30" s="181"/>
      <c r="BF30" s="24"/>
      <c r="BG30" s="24"/>
      <c r="BH30" s="24"/>
      <c r="BI30" s="180">
        <f>BI34</f>
        <v>32</v>
      </c>
      <c r="BJ30" s="181"/>
      <c r="BK30" s="18"/>
      <c r="BL30" s="180">
        <f>BL34</f>
        <v>34</v>
      </c>
      <c r="BM30" s="181"/>
      <c r="BN30" s="24"/>
      <c r="BO30" s="180">
        <f>BO34</f>
        <v>36</v>
      </c>
      <c r="BP30" s="181"/>
      <c r="BQ30" s="24"/>
      <c r="BR30" s="180">
        <f>BR34</f>
        <v>46</v>
      </c>
      <c r="BS30" s="181"/>
      <c r="BT30" s="24"/>
      <c r="BU30" s="180">
        <f>BU34</f>
        <v>48</v>
      </c>
      <c r="BV30" s="181"/>
      <c r="BW30" s="18"/>
      <c r="BX30" s="18"/>
      <c r="BY30" s="257">
        <f>BY34</f>
        <v>38</v>
      </c>
      <c r="BZ30" s="258"/>
      <c r="CA30" s="18"/>
      <c r="CB30" s="257">
        <f>CB34</f>
        <v>40</v>
      </c>
      <c r="CC30" s="258"/>
      <c r="CD30" s="24"/>
      <c r="CE30" s="180">
        <f>CE34</f>
        <v>42</v>
      </c>
      <c r="CF30" s="181"/>
      <c r="CG30" s="18"/>
      <c r="CH30" s="180">
        <f>CH34</f>
        <v>44</v>
      </c>
      <c r="CI30" s="181"/>
      <c r="CJ30" s="119"/>
      <c r="CK30" s="18"/>
      <c r="CL30" s="24"/>
      <c r="CM30" s="108"/>
      <c r="CN30" s="120"/>
      <c r="CO30" s="120"/>
      <c r="CP30" s="108"/>
      <c r="CQ30" s="120"/>
      <c r="CR30" s="120"/>
      <c r="CS30" s="108"/>
      <c r="CT30" s="120"/>
      <c r="CU30" s="120"/>
      <c r="CV30" s="117"/>
      <c r="CW30" s="120"/>
      <c r="CX30" s="120"/>
      <c r="CY30" s="117"/>
      <c r="CZ30" s="120"/>
      <c r="DA30" s="24"/>
    </row>
    <row r="31" spans="5:120" ht="13.5" thickBot="1">
      <c r="E31" s="18"/>
      <c r="G31" s="7"/>
      <c r="H31" s="84"/>
      <c r="I31" s="18"/>
      <c r="J31" s="7"/>
      <c r="K31" s="84"/>
      <c r="L31" s="24"/>
      <c r="M31" s="7"/>
      <c r="N31" s="84"/>
      <c r="O31" s="18"/>
      <c r="P31" s="7"/>
      <c r="Q31" s="84"/>
      <c r="R31" s="24"/>
      <c r="S31" s="24"/>
      <c r="T31" s="24"/>
      <c r="U31" s="7"/>
      <c r="V31" s="84"/>
      <c r="W31" s="18"/>
      <c r="X31" s="7"/>
      <c r="Y31" s="84"/>
      <c r="Z31" s="18"/>
      <c r="AA31" s="7"/>
      <c r="AB31" s="84"/>
      <c r="AC31" s="24"/>
      <c r="AD31" s="7"/>
      <c r="AE31" s="84"/>
      <c r="AF31" s="18"/>
      <c r="AG31" s="7"/>
      <c r="AH31" s="84"/>
      <c r="AI31" s="24"/>
      <c r="AJ31" s="7"/>
      <c r="AK31" s="84"/>
      <c r="AL31" s="18"/>
      <c r="AM31" s="7"/>
      <c r="AN31" s="84"/>
      <c r="AO31" s="24"/>
      <c r="AP31" s="24"/>
      <c r="AQ31" s="24"/>
      <c r="AR31" s="24"/>
      <c r="AS31" s="24"/>
      <c r="AT31" s="24"/>
      <c r="AU31" s="7"/>
      <c r="AV31" s="84"/>
      <c r="AW31" s="18"/>
      <c r="AX31" s="7"/>
      <c r="AY31" s="84"/>
      <c r="AZ31" s="24"/>
      <c r="BA31" s="7"/>
      <c r="BB31" s="84"/>
      <c r="BC31" s="18"/>
      <c r="BD31" s="7"/>
      <c r="BE31" s="84"/>
      <c r="BF31" s="120"/>
      <c r="BG31" s="24"/>
      <c r="BH31" s="24"/>
      <c r="BI31" s="7"/>
      <c r="BJ31" s="84"/>
      <c r="BK31" s="18"/>
      <c r="BL31" s="7"/>
      <c r="BM31" s="84"/>
      <c r="BN31" s="24"/>
      <c r="BO31" s="7"/>
      <c r="BP31" s="84"/>
      <c r="BQ31" s="24"/>
      <c r="BR31" s="7"/>
      <c r="BS31" s="84"/>
      <c r="BT31" s="24"/>
      <c r="BU31" s="7"/>
      <c r="BV31" s="84"/>
      <c r="BW31" s="18"/>
      <c r="BX31" s="18"/>
      <c r="BY31" s="7"/>
      <c r="BZ31" s="84"/>
      <c r="CA31" s="18"/>
      <c r="CB31" s="7"/>
      <c r="CC31" s="84"/>
      <c r="CD31" s="24"/>
      <c r="CE31" s="7"/>
      <c r="CF31" s="84"/>
      <c r="CG31" s="18"/>
      <c r="CH31" s="7"/>
      <c r="CI31" s="84"/>
      <c r="CJ31" s="119"/>
      <c r="CK31" s="24"/>
      <c r="CL31" s="24"/>
      <c r="CM31" s="108"/>
      <c r="CN31" s="24"/>
      <c r="CO31" s="24"/>
      <c r="CP31" s="108"/>
      <c r="CQ31" s="24"/>
      <c r="CR31" s="24"/>
      <c r="CS31" s="108"/>
      <c r="CT31" s="24"/>
      <c r="CU31" s="24"/>
      <c r="CV31" s="117"/>
      <c r="CW31" s="18"/>
      <c r="CX31" s="24"/>
      <c r="CY31" s="117"/>
      <c r="CZ31" s="18"/>
      <c r="DA31" s="24"/>
    </row>
    <row r="32" spans="5:120" ht="18" customHeight="1">
      <c r="E32" s="18"/>
      <c r="G32" s="176" t="s">
        <v>18</v>
      </c>
      <c r="H32" s="177"/>
      <c r="I32" s="18"/>
      <c r="J32" s="176" t="s">
        <v>18</v>
      </c>
      <c r="K32" s="177"/>
      <c r="L32" s="24"/>
      <c r="M32" s="176" t="s">
        <v>18</v>
      </c>
      <c r="N32" s="177"/>
      <c r="O32" s="18"/>
      <c r="P32" s="176" t="s">
        <v>18</v>
      </c>
      <c r="Q32" s="177"/>
      <c r="R32" s="24"/>
      <c r="S32" s="24"/>
      <c r="T32" s="24"/>
      <c r="U32" s="176" t="s">
        <v>18</v>
      </c>
      <c r="V32" s="177"/>
      <c r="W32" s="18"/>
      <c r="X32" s="176" t="s">
        <v>18</v>
      </c>
      <c r="Y32" s="177"/>
      <c r="Z32" s="18"/>
      <c r="AA32" s="176" t="s">
        <v>18</v>
      </c>
      <c r="AB32" s="177"/>
      <c r="AC32" s="24"/>
      <c r="AD32" s="176" t="s">
        <v>18</v>
      </c>
      <c r="AE32" s="177"/>
      <c r="AF32" s="18"/>
      <c r="AG32" s="176" t="s">
        <v>18</v>
      </c>
      <c r="AH32" s="177"/>
      <c r="AI32" s="24"/>
      <c r="AJ32" s="176" t="s">
        <v>18</v>
      </c>
      <c r="AK32" s="177"/>
      <c r="AL32" s="18"/>
      <c r="AM32" s="176" t="s">
        <v>18</v>
      </c>
      <c r="AN32" s="177"/>
      <c r="AO32" s="24"/>
      <c r="AP32" s="24"/>
      <c r="AQ32" s="24"/>
      <c r="AR32" s="24"/>
      <c r="AS32" s="24"/>
      <c r="AT32" s="24"/>
      <c r="AU32" s="176" t="s">
        <v>18</v>
      </c>
      <c r="AV32" s="177"/>
      <c r="AW32" s="18"/>
      <c r="AX32" s="176" t="s">
        <v>18</v>
      </c>
      <c r="AY32" s="177"/>
      <c r="AZ32" s="24"/>
      <c r="BA32" s="176" t="s">
        <v>18</v>
      </c>
      <c r="BB32" s="177"/>
      <c r="BC32" s="18"/>
      <c r="BD32" s="176" t="s">
        <v>18</v>
      </c>
      <c r="BE32" s="177"/>
      <c r="BF32" s="18"/>
      <c r="BG32" s="24"/>
      <c r="BH32" s="24"/>
      <c r="BI32" s="176" t="s">
        <v>18</v>
      </c>
      <c r="BJ32" s="177"/>
      <c r="BK32" s="18"/>
      <c r="BL32" s="176" t="s">
        <v>18</v>
      </c>
      <c r="BM32" s="177"/>
      <c r="BN32" s="24"/>
      <c r="BO32" s="176" t="s">
        <v>18</v>
      </c>
      <c r="BP32" s="177"/>
      <c r="BQ32" s="24"/>
      <c r="BR32" s="176" t="s">
        <v>18</v>
      </c>
      <c r="BS32" s="177"/>
      <c r="BT32" s="24"/>
      <c r="BU32" s="176" t="s">
        <v>18</v>
      </c>
      <c r="BV32" s="177"/>
      <c r="BW32" s="18"/>
      <c r="BX32" s="18"/>
      <c r="BY32" s="176" t="s">
        <v>18</v>
      </c>
      <c r="BZ32" s="177"/>
      <c r="CA32" s="18"/>
      <c r="CB32" s="176" t="s">
        <v>18</v>
      </c>
      <c r="CC32" s="177"/>
      <c r="CD32" s="24"/>
      <c r="CE32" s="176" t="s">
        <v>18</v>
      </c>
      <c r="CF32" s="177"/>
      <c r="CG32" s="18"/>
      <c r="CH32" s="176" t="s">
        <v>18</v>
      </c>
      <c r="CI32" s="177"/>
      <c r="CJ32" s="119"/>
      <c r="CK32" s="24"/>
      <c r="CL32" s="24"/>
      <c r="CM32" s="108"/>
      <c r="CN32" s="18"/>
      <c r="CO32" s="18"/>
      <c r="CP32" s="108"/>
      <c r="CQ32" s="18"/>
      <c r="CR32" s="18"/>
      <c r="CS32" s="108"/>
      <c r="CT32" s="18"/>
      <c r="CU32" s="18"/>
      <c r="CV32" s="117"/>
      <c r="CW32" s="18"/>
      <c r="CX32" s="18"/>
      <c r="CY32" s="117"/>
      <c r="CZ32" s="18"/>
      <c r="DA32" s="24"/>
    </row>
    <row r="33" spans="5:120" s="85" customFormat="1">
      <c r="E33" s="123"/>
      <c r="G33" s="178" t="s">
        <v>22</v>
      </c>
      <c r="H33" s="179"/>
      <c r="I33" s="123"/>
      <c r="J33" s="178" t="s">
        <v>22</v>
      </c>
      <c r="K33" s="179"/>
      <c r="L33" s="119"/>
      <c r="M33" s="178" t="s">
        <v>22</v>
      </c>
      <c r="N33" s="179"/>
      <c r="O33" s="123"/>
      <c r="P33" s="178" t="s">
        <v>22</v>
      </c>
      <c r="Q33" s="179"/>
      <c r="R33" s="119"/>
      <c r="S33" s="123"/>
      <c r="T33" s="123"/>
      <c r="U33" s="178" t="s">
        <v>22</v>
      </c>
      <c r="V33" s="179"/>
      <c r="W33" s="123"/>
      <c r="X33" s="178" t="s">
        <v>22</v>
      </c>
      <c r="Y33" s="179"/>
      <c r="Z33" s="123"/>
      <c r="AA33" s="178" t="s">
        <v>22</v>
      </c>
      <c r="AB33" s="179"/>
      <c r="AC33" s="119"/>
      <c r="AD33" s="178" t="s">
        <v>239</v>
      </c>
      <c r="AE33" s="179"/>
      <c r="AF33" s="123"/>
      <c r="AG33" s="178" t="s">
        <v>239</v>
      </c>
      <c r="AH33" s="179"/>
      <c r="AI33" s="123"/>
      <c r="AJ33" s="178" t="s">
        <v>239</v>
      </c>
      <c r="AK33" s="179"/>
      <c r="AL33" s="123"/>
      <c r="AM33" s="178" t="s">
        <v>239</v>
      </c>
      <c r="AN33" s="179"/>
      <c r="AO33" s="119"/>
      <c r="AP33" s="123"/>
      <c r="AQ33" s="123"/>
      <c r="AR33" s="123"/>
      <c r="AS33" s="123"/>
      <c r="AT33" s="123"/>
      <c r="AU33" s="178" t="s">
        <v>239</v>
      </c>
      <c r="AV33" s="179"/>
      <c r="AW33" s="123"/>
      <c r="AX33" s="178" t="s">
        <v>239</v>
      </c>
      <c r="AY33" s="179"/>
      <c r="AZ33" s="123"/>
      <c r="BA33" s="178" t="s">
        <v>239</v>
      </c>
      <c r="BB33" s="179"/>
      <c r="BC33" s="123"/>
      <c r="BD33" s="178" t="s">
        <v>239</v>
      </c>
      <c r="BE33" s="179"/>
      <c r="BF33" s="120"/>
      <c r="BG33" s="123"/>
      <c r="BH33" s="123"/>
      <c r="BI33" s="178" t="s">
        <v>22</v>
      </c>
      <c r="BJ33" s="179"/>
      <c r="BK33" s="123"/>
      <c r="BL33" s="178" t="s">
        <v>22</v>
      </c>
      <c r="BM33" s="179"/>
      <c r="BN33" s="123"/>
      <c r="BO33" s="178" t="s">
        <v>22</v>
      </c>
      <c r="BP33" s="179"/>
      <c r="BQ33" s="123"/>
      <c r="BR33" s="178" t="s">
        <v>22</v>
      </c>
      <c r="BS33" s="179"/>
      <c r="BT33" s="123"/>
      <c r="BU33" s="178" t="s">
        <v>22</v>
      </c>
      <c r="BV33" s="179"/>
      <c r="BW33" s="18"/>
      <c r="BX33" s="123"/>
      <c r="BY33" s="178" t="s">
        <v>22</v>
      </c>
      <c r="BZ33" s="179"/>
      <c r="CA33" s="123"/>
      <c r="CB33" s="178" t="s">
        <v>22</v>
      </c>
      <c r="CC33" s="179"/>
      <c r="CD33" s="119"/>
      <c r="CE33" s="178" t="s">
        <v>22</v>
      </c>
      <c r="CF33" s="179"/>
      <c r="CG33" s="123"/>
      <c r="CH33" s="178" t="s">
        <v>22</v>
      </c>
      <c r="CI33" s="179"/>
      <c r="CJ33" s="119"/>
      <c r="CK33" s="119"/>
      <c r="CL33" s="123"/>
      <c r="CM33" s="112"/>
      <c r="CN33" s="119"/>
      <c r="CO33" s="119"/>
      <c r="CP33" s="112"/>
      <c r="CQ33" s="119"/>
      <c r="CR33" s="119"/>
      <c r="CS33" s="112"/>
      <c r="CT33" s="119"/>
      <c r="CU33" s="119"/>
      <c r="CV33" s="125"/>
      <c r="CW33" s="109"/>
      <c r="CX33" s="119"/>
      <c r="CY33" s="125"/>
      <c r="CZ33" s="109"/>
      <c r="DA33" s="123"/>
      <c r="DB33" s="61"/>
      <c r="DC33" s="62" t="s">
        <v>24</v>
      </c>
      <c r="DD33" s="62" t="s">
        <v>234</v>
      </c>
      <c r="DE33" s="62" t="s">
        <v>231</v>
      </c>
      <c r="DF33" s="62" t="s">
        <v>23</v>
      </c>
      <c r="DG33" s="61"/>
      <c r="DH33" s="61"/>
      <c r="DI33" s="61"/>
      <c r="DJ33" s="61"/>
      <c r="DK33" s="61"/>
      <c r="DL33" s="61"/>
      <c r="DM33" s="61"/>
      <c r="DN33" s="61"/>
      <c r="DO33" s="61"/>
      <c r="DP33" s="61"/>
    </row>
    <row r="34" spans="5:120" ht="13.5" thickBot="1">
      <c r="E34" s="18"/>
      <c r="G34" s="180">
        <f>H38*H37</f>
        <v>2</v>
      </c>
      <c r="H34" s="181"/>
      <c r="I34" s="18"/>
      <c r="J34" s="180">
        <f>K38*K37</f>
        <v>4</v>
      </c>
      <c r="K34" s="181"/>
      <c r="L34" s="24"/>
      <c r="M34" s="180">
        <f>N38*N37</f>
        <v>12</v>
      </c>
      <c r="N34" s="181"/>
      <c r="O34" s="18"/>
      <c r="P34" s="180">
        <f>Q38*Q37</f>
        <v>16</v>
      </c>
      <c r="Q34" s="181"/>
      <c r="R34" s="24"/>
      <c r="S34" s="24"/>
      <c r="T34" s="24"/>
      <c r="U34" s="180">
        <f>V38*V37</f>
        <v>20</v>
      </c>
      <c r="V34" s="181"/>
      <c r="W34" s="18"/>
      <c r="X34" s="180">
        <f>Y38*Y37</f>
        <v>12</v>
      </c>
      <c r="Y34" s="181"/>
      <c r="Z34" s="18"/>
      <c r="AA34" s="180">
        <f>AB38*AB37</f>
        <v>14</v>
      </c>
      <c r="AB34" s="181"/>
      <c r="AC34" s="24"/>
      <c r="AD34" s="180">
        <f>AE38*AE37</f>
        <v>16</v>
      </c>
      <c r="AE34" s="181"/>
      <c r="AF34" s="18"/>
      <c r="AG34" s="180">
        <f>AH38*AH37</f>
        <v>18</v>
      </c>
      <c r="AH34" s="181"/>
      <c r="AI34" s="24"/>
      <c r="AJ34" s="180">
        <f>AK38*AK37</f>
        <v>20</v>
      </c>
      <c r="AK34" s="181"/>
      <c r="AL34" s="18"/>
      <c r="AM34" s="180">
        <f>AN38*AN37</f>
        <v>22</v>
      </c>
      <c r="AN34" s="181"/>
      <c r="AO34" s="24"/>
      <c r="AP34" s="24"/>
      <c r="AQ34" s="24"/>
      <c r="AR34" s="24"/>
      <c r="AS34" s="24"/>
      <c r="AT34" s="24"/>
      <c r="AU34" s="180">
        <f>AV38*AV37</f>
        <v>24</v>
      </c>
      <c r="AV34" s="181"/>
      <c r="AW34" s="18"/>
      <c r="AX34" s="180">
        <f>AY38*AY37</f>
        <v>26</v>
      </c>
      <c r="AY34" s="181"/>
      <c r="AZ34" s="24"/>
      <c r="BA34" s="180">
        <f>BB38*BB37</f>
        <v>28</v>
      </c>
      <c r="BB34" s="181"/>
      <c r="BC34" s="18"/>
      <c r="BD34" s="180">
        <f>BE38*BE37</f>
        <v>30</v>
      </c>
      <c r="BE34" s="181"/>
      <c r="BF34" s="24"/>
      <c r="BG34" s="24"/>
      <c r="BH34" s="24"/>
      <c r="BI34" s="180">
        <f>BJ38*BJ37</f>
        <v>32</v>
      </c>
      <c r="BJ34" s="181"/>
      <c r="BK34" s="18"/>
      <c r="BL34" s="257">
        <f>BM38*BM37</f>
        <v>34</v>
      </c>
      <c r="BM34" s="258"/>
      <c r="BN34" s="24"/>
      <c r="BO34" s="180">
        <f>BP38*BP37</f>
        <v>36</v>
      </c>
      <c r="BP34" s="181"/>
      <c r="BQ34" s="24"/>
      <c r="BR34" s="180">
        <f>BS38*BS37</f>
        <v>46</v>
      </c>
      <c r="BS34" s="181"/>
      <c r="BT34" s="24"/>
      <c r="BU34" s="180">
        <f>BV38*BV37</f>
        <v>48</v>
      </c>
      <c r="BV34" s="181"/>
      <c r="BW34" s="18"/>
      <c r="BX34" s="18"/>
      <c r="BY34" s="257">
        <f>BZ38*BZ37</f>
        <v>38</v>
      </c>
      <c r="BZ34" s="258"/>
      <c r="CA34" s="18"/>
      <c r="CB34" s="257">
        <f>CC38*CC37</f>
        <v>40</v>
      </c>
      <c r="CC34" s="258"/>
      <c r="CD34" s="24"/>
      <c r="CE34" s="180">
        <f>CF38*CF37</f>
        <v>42</v>
      </c>
      <c r="CF34" s="181"/>
      <c r="CG34" s="18"/>
      <c r="CH34" s="180">
        <f>CI38*CI37</f>
        <v>44</v>
      </c>
      <c r="CI34" s="181"/>
      <c r="CJ34" s="119"/>
      <c r="CK34" s="18"/>
      <c r="CL34" s="24"/>
      <c r="CM34" s="157" t="str">
        <f>CN38</f>
        <v>0</v>
      </c>
      <c r="CN34" s="142" t="str">
        <f>CN38</f>
        <v>0</v>
      </c>
      <c r="CO34" s="142"/>
      <c r="CP34" s="157" t="str">
        <f>CQ38</f>
        <v>0</v>
      </c>
      <c r="CQ34" s="142" t="str">
        <f>CQ38</f>
        <v>0</v>
      </c>
      <c r="CR34" s="18"/>
      <c r="CS34" s="108"/>
      <c r="CT34" s="18"/>
      <c r="CU34" s="18"/>
      <c r="CV34" s="141" t="str">
        <f>CW38</f>
        <v>0</v>
      </c>
      <c r="CW34" s="142" t="str">
        <f>CW38</f>
        <v>0</v>
      </c>
      <c r="CX34" s="18"/>
      <c r="CY34" s="141" t="str">
        <f>CZ38</f>
        <v>0</v>
      </c>
      <c r="CZ34" s="142" t="str">
        <f>CZ38</f>
        <v>0</v>
      </c>
      <c r="DA34" s="24"/>
      <c r="DB34" s="86"/>
      <c r="DC34" s="10" t="s">
        <v>230</v>
      </c>
      <c r="DD34" s="10" t="s">
        <v>232</v>
      </c>
      <c r="DE34" s="10" t="s">
        <v>233</v>
      </c>
      <c r="DF34" s="10" t="s">
        <v>229</v>
      </c>
      <c r="DG34" s="86"/>
      <c r="DH34" s="86"/>
      <c r="DI34" s="86"/>
      <c r="DJ34" s="86"/>
      <c r="DK34" s="86"/>
      <c r="DL34" s="86"/>
      <c r="DM34" s="86"/>
      <c r="DN34" s="86"/>
      <c r="DO34" s="86"/>
      <c r="DP34" s="86"/>
    </row>
    <row r="35" spans="5:120" ht="13.5" thickBot="1">
      <c r="E35" s="18"/>
      <c r="G35" s="5"/>
      <c r="H35" s="4"/>
      <c r="I35" s="18"/>
      <c r="J35" s="5"/>
      <c r="K35" s="4"/>
      <c r="L35" s="24"/>
      <c r="M35" s="5"/>
      <c r="N35" s="4"/>
      <c r="O35" s="18"/>
      <c r="P35" s="5"/>
      <c r="Q35" s="4"/>
      <c r="R35" s="24"/>
      <c r="S35" s="18"/>
      <c r="T35" s="18"/>
      <c r="U35" s="5"/>
      <c r="V35" s="4"/>
      <c r="W35" s="18"/>
      <c r="X35" s="5"/>
      <c r="Y35" s="4"/>
      <c r="Z35" s="18"/>
      <c r="AA35" s="5"/>
      <c r="AB35" s="4"/>
      <c r="AC35" s="24"/>
      <c r="AD35" s="5"/>
      <c r="AE35" s="4"/>
      <c r="AF35" s="18"/>
      <c r="AG35" s="5"/>
      <c r="AH35" s="4"/>
      <c r="AI35" s="18"/>
      <c r="AJ35" s="5"/>
      <c r="AK35" s="4"/>
      <c r="AL35" s="18"/>
      <c r="AM35" s="5"/>
      <c r="AN35" s="4"/>
      <c r="AO35" s="24"/>
      <c r="AP35" s="18"/>
      <c r="AQ35" s="18"/>
      <c r="AR35" s="18"/>
      <c r="AS35" s="18"/>
      <c r="AT35" s="18"/>
      <c r="AU35" s="5"/>
      <c r="AV35" s="4"/>
      <c r="AW35" s="18"/>
      <c r="AX35" s="5"/>
      <c r="AY35" s="4"/>
      <c r="AZ35" s="18"/>
      <c r="BA35" s="5"/>
      <c r="BB35" s="4"/>
      <c r="BC35" s="18"/>
      <c r="BD35" s="5"/>
      <c r="BE35" s="4"/>
      <c r="BF35" s="24"/>
      <c r="BG35" s="18"/>
      <c r="BH35" s="18"/>
      <c r="BI35" s="5"/>
      <c r="BJ35" s="4"/>
      <c r="BK35" s="18"/>
      <c r="BL35" s="5"/>
      <c r="BM35" s="4"/>
      <c r="BN35" s="18"/>
      <c r="BO35" s="5"/>
      <c r="BP35" s="4"/>
      <c r="BQ35" s="18"/>
      <c r="BR35" s="5"/>
      <c r="BS35" s="4"/>
      <c r="BT35" s="18"/>
      <c r="BU35" s="5"/>
      <c r="BV35" s="4"/>
      <c r="BW35" s="18"/>
      <c r="BX35" s="18"/>
      <c r="BY35" s="5"/>
      <c r="BZ35" s="4"/>
      <c r="CA35" s="18"/>
      <c r="CB35" s="5"/>
      <c r="CC35" s="4"/>
      <c r="CD35" s="24"/>
      <c r="CE35" s="5"/>
      <c r="CF35" s="4"/>
      <c r="CG35" s="18"/>
      <c r="CH35" s="5"/>
      <c r="CI35" s="4"/>
      <c r="CJ35" s="119"/>
      <c r="CK35" s="24"/>
      <c r="CL35" s="18"/>
      <c r="CM35" s="108"/>
      <c r="CN35" s="120"/>
      <c r="CO35" s="120"/>
      <c r="CP35" s="108"/>
      <c r="CQ35" s="120"/>
      <c r="CR35" s="120"/>
      <c r="CS35" s="108"/>
      <c r="CT35" s="120"/>
      <c r="CU35" s="120"/>
      <c r="CV35" s="117"/>
      <c r="CW35" s="120"/>
      <c r="CX35" s="120"/>
      <c r="CY35" s="117"/>
      <c r="CZ35" s="120"/>
      <c r="DA35" s="18"/>
      <c r="DC35" s="10">
        <f>SUM(AD34:BE34)/2</f>
        <v>92</v>
      </c>
      <c r="DD35" s="10">
        <f>DC35*3</f>
        <v>276</v>
      </c>
      <c r="DE35" s="10">
        <f>DC35*2</f>
        <v>184</v>
      </c>
      <c r="DF35" s="10">
        <f>SUM(G34:DA34)-DC35</f>
        <v>532</v>
      </c>
    </row>
    <row r="36" spans="5:120">
      <c r="E36" s="18"/>
      <c r="G36" s="182" t="s">
        <v>60</v>
      </c>
      <c r="H36" s="183"/>
      <c r="I36" s="18"/>
      <c r="J36" s="182" t="s">
        <v>61</v>
      </c>
      <c r="K36" s="183"/>
      <c r="L36" s="24"/>
      <c r="M36" s="182" t="s">
        <v>59</v>
      </c>
      <c r="N36" s="183"/>
      <c r="O36" s="18"/>
      <c r="P36" s="182" t="s">
        <v>56</v>
      </c>
      <c r="Q36" s="183"/>
      <c r="R36" s="24"/>
      <c r="S36" s="24"/>
      <c r="T36" s="24"/>
      <c r="U36" s="182" t="str">
        <f>'1'!K5</f>
        <v>RTD &gt; 4-20 мА</v>
      </c>
      <c r="V36" s="183"/>
      <c r="W36" s="18"/>
      <c r="X36" s="182" t="s">
        <v>82</v>
      </c>
      <c r="Y36" s="183"/>
      <c r="Z36" s="18"/>
      <c r="AA36" s="182" t="s">
        <v>83</v>
      </c>
      <c r="AB36" s="183"/>
      <c r="AC36" s="24"/>
      <c r="AD36" s="182" t="s">
        <v>78</v>
      </c>
      <c r="AE36" s="183"/>
      <c r="AF36" s="18"/>
      <c r="AG36" s="182" t="s">
        <v>79</v>
      </c>
      <c r="AH36" s="183"/>
      <c r="AI36" s="24"/>
      <c r="AJ36" s="182" t="s">
        <v>100</v>
      </c>
      <c r="AK36" s="183"/>
      <c r="AL36" s="18"/>
      <c r="AM36" s="182" t="s">
        <v>101</v>
      </c>
      <c r="AN36" s="183"/>
      <c r="AO36" s="24"/>
      <c r="AP36" s="24"/>
      <c r="AQ36" s="24"/>
      <c r="AR36" s="24"/>
      <c r="AS36" s="24"/>
      <c r="AT36" s="24"/>
      <c r="AU36" s="182" t="s">
        <v>102</v>
      </c>
      <c r="AV36" s="183"/>
      <c r="AW36" s="18"/>
      <c r="AX36" s="182" t="s">
        <v>103</v>
      </c>
      <c r="AY36" s="183"/>
      <c r="AZ36" s="24"/>
      <c r="BA36" s="182" t="s">
        <v>80</v>
      </c>
      <c r="BB36" s="183"/>
      <c r="BC36" s="18"/>
      <c r="BD36" s="182" t="s">
        <v>81</v>
      </c>
      <c r="BE36" s="183"/>
      <c r="BF36" s="18"/>
      <c r="BG36" s="24"/>
      <c r="BH36" s="24"/>
      <c r="BI36" s="182" t="s">
        <v>84</v>
      </c>
      <c r="BJ36" s="183"/>
      <c r="BK36" s="18"/>
      <c r="BL36" s="182" t="s">
        <v>85</v>
      </c>
      <c r="BM36" s="183"/>
      <c r="BN36" s="24"/>
      <c r="BO36" s="182" t="s">
        <v>86</v>
      </c>
      <c r="BP36" s="183"/>
      <c r="BQ36" s="24"/>
      <c r="BR36" s="182" t="s">
        <v>157</v>
      </c>
      <c r="BS36" s="183"/>
      <c r="BT36" s="24"/>
      <c r="BU36" s="182" t="s">
        <v>158</v>
      </c>
      <c r="BV36" s="183"/>
      <c r="BW36" s="18"/>
      <c r="BX36" s="18"/>
      <c r="BY36" s="182" t="s">
        <v>87</v>
      </c>
      <c r="BZ36" s="183"/>
      <c r="CA36" s="18"/>
      <c r="CB36" s="176" t="s">
        <v>88</v>
      </c>
      <c r="CC36" s="177"/>
      <c r="CD36" s="24"/>
      <c r="CE36" s="182" t="s">
        <v>89</v>
      </c>
      <c r="CF36" s="183"/>
      <c r="CG36" s="18"/>
      <c r="CH36" s="182" t="s">
        <v>90</v>
      </c>
      <c r="CI36" s="183"/>
      <c r="CJ36" s="119"/>
      <c r="CK36" s="18"/>
      <c r="CL36" s="24"/>
      <c r="CM36" s="261" t="str">
        <f>'1'!AF4</f>
        <v xml:space="preserve">Ethernet </v>
      </c>
      <c r="CN36" s="262"/>
      <c r="CO36" s="18"/>
      <c r="CP36" s="261" t="str">
        <f>'1'!AG4</f>
        <v>Profibus DP</v>
      </c>
      <c r="CQ36" s="262"/>
      <c r="CR36" s="18"/>
      <c r="CS36" s="261" t="str">
        <f>'1'!AH4</f>
        <v>Foundation Fieldbus</v>
      </c>
      <c r="CT36" s="262"/>
      <c r="CU36" s="18"/>
      <c r="CV36" s="253" t="s">
        <v>272</v>
      </c>
      <c r="CW36" s="254"/>
      <c r="CX36" s="18"/>
      <c r="CY36" s="253" t="s">
        <v>42</v>
      </c>
      <c r="CZ36" s="254"/>
      <c r="DA36" s="24"/>
    </row>
    <row r="37" spans="5:120">
      <c r="E37" s="18"/>
      <c r="G37" s="8" t="s">
        <v>17</v>
      </c>
      <c r="H37" s="9">
        <v>2</v>
      </c>
      <c r="I37" s="18"/>
      <c r="J37" s="8" t="s">
        <v>17</v>
      </c>
      <c r="K37" s="9">
        <v>2</v>
      </c>
      <c r="L37" s="24"/>
      <c r="M37" s="8" t="s">
        <v>17</v>
      </c>
      <c r="N37" s="9">
        <v>4</v>
      </c>
      <c r="O37" s="18"/>
      <c r="P37" s="8" t="s">
        <v>17</v>
      </c>
      <c r="Q37" s="9">
        <v>4</v>
      </c>
      <c r="R37" s="24"/>
      <c r="S37" s="24"/>
      <c r="T37" s="24"/>
      <c r="U37" s="8" t="s">
        <v>17</v>
      </c>
      <c r="V37" s="9">
        <v>4</v>
      </c>
      <c r="W37" s="18"/>
      <c r="X37" s="8" t="s">
        <v>17</v>
      </c>
      <c r="Y37" s="9">
        <v>2</v>
      </c>
      <c r="Z37" s="18"/>
      <c r="AA37" s="8" t="s">
        <v>17</v>
      </c>
      <c r="AB37" s="9">
        <v>2</v>
      </c>
      <c r="AC37" s="24"/>
      <c r="AD37" s="8" t="s">
        <v>17</v>
      </c>
      <c r="AE37" s="9">
        <v>2</v>
      </c>
      <c r="AF37" s="18"/>
      <c r="AG37" s="8" t="s">
        <v>17</v>
      </c>
      <c r="AH37" s="9">
        <v>2</v>
      </c>
      <c r="AI37" s="24"/>
      <c r="AJ37" s="8" t="s">
        <v>17</v>
      </c>
      <c r="AK37" s="9">
        <v>2</v>
      </c>
      <c r="AL37" s="18"/>
      <c r="AM37" s="8" t="s">
        <v>17</v>
      </c>
      <c r="AN37" s="9">
        <v>2</v>
      </c>
      <c r="AO37" s="24"/>
      <c r="AP37" s="24"/>
      <c r="AQ37" s="24"/>
      <c r="AR37" s="24"/>
      <c r="AS37" s="24"/>
      <c r="AT37" s="24"/>
      <c r="AU37" s="8" t="s">
        <v>17</v>
      </c>
      <c r="AV37" s="9">
        <v>2</v>
      </c>
      <c r="AW37" s="18"/>
      <c r="AX37" s="8" t="s">
        <v>17</v>
      </c>
      <c r="AY37" s="9">
        <v>2</v>
      </c>
      <c r="AZ37" s="24"/>
      <c r="BA37" s="8" t="s">
        <v>17</v>
      </c>
      <c r="BB37" s="9">
        <v>2</v>
      </c>
      <c r="BC37" s="18"/>
      <c r="BD37" s="8" t="s">
        <v>17</v>
      </c>
      <c r="BE37" s="9">
        <v>2</v>
      </c>
      <c r="BF37" s="120"/>
      <c r="BG37" s="24"/>
      <c r="BH37" s="24"/>
      <c r="BI37" s="8" t="s">
        <v>17</v>
      </c>
      <c r="BJ37" s="9">
        <v>2</v>
      </c>
      <c r="BK37" s="18"/>
      <c r="BL37" s="8" t="s">
        <v>17</v>
      </c>
      <c r="BM37" s="9">
        <v>2</v>
      </c>
      <c r="BN37" s="24"/>
      <c r="BO37" s="8" t="s">
        <v>17</v>
      </c>
      <c r="BP37" s="9">
        <v>2</v>
      </c>
      <c r="BQ37" s="24"/>
      <c r="BR37" s="8" t="s">
        <v>17</v>
      </c>
      <c r="BS37" s="9">
        <v>2</v>
      </c>
      <c r="BT37" s="24"/>
      <c r="BU37" s="8" t="s">
        <v>17</v>
      </c>
      <c r="BV37" s="9">
        <v>2</v>
      </c>
      <c r="BW37" s="18"/>
      <c r="BX37" s="18"/>
      <c r="BY37" s="8" t="s">
        <v>17</v>
      </c>
      <c r="BZ37" s="9">
        <v>2</v>
      </c>
      <c r="CA37" s="18"/>
      <c r="CB37" s="8" t="s">
        <v>17</v>
      </c>
      <c r="CC37" s="9">
        <v>2</v>
      </c>
      <c r="CD37" s="24"/>
      <c r="CE37" s="8" t="s">
        <v>17</v>
      </c>
      <c r="CF37" s="9">
        <v>2</v>
      </c>
      <c r="CG37" s="18"/>
      <c r="CH37" s="8" t="s">
        <v>17</v>
      </c>
      <c r="CI37" s="9">
        <v>2</v>
      </c>
      <c r="CJ37" s="119"/>
      <c r="CK37" s="24"/>
      <c r="CL37" s="24"/>
      <c r="CM37" s="52" t="s">
        <v>17</v>
      </c>
      <c r="CN37" s="53">
        <v>1</v>
      </c>
      <c r="CO37" s="24"/>
      <c r="CP37" s="52" t="s">
        <v>17</v>
      </c>
      <c r="CQ37" s="53">
        <v>1</v>
      </c>
      <c r="CR37" s="24"/>
      <c r="CS37" s="52" t="s">
        <v>17</v>
      </c>
      <c r="CT37" s="53">
        <v>1</v>
      </c>
      <c r="CU37" s="24"/>
      <c r="CV37" s="56" t="s">
        <v>17</v>
      </c>
      <c r="CW37" s="57">
        <v>2</v>
      </c>
      <c r="CX37" s="24"/>
      <c r="CY37" s="56" t="s">
        <v>17</v>
      </c>
      <c r="CZ37" s="57">
        <v>2</v>
      </c>
      <c r="DA37" s="24"/>
    </row>
    <row r="38" spans="5:120" ht="13.5" thickBot="1">
      <c r="E38" s="18"/>
      <c r="G38" s="82" t="s">
        <v>16</v>
      </c>
      <c r="H38" s="1">
        <f>'1'!$G$10</f>
        <v>1</v>
      </c>
      <c r="I38" s="18"/>
      <c r="J38" s="82" t="s">
        <v>16</v>
      </c>
      <c r="K38" s="1">
        <f>'1'!$H$10</f>
        <v>2</v>
      </c>
      <c r="L38" s="24"/>
      <c r="M38" s="82" t="s">
        <v>16</v>
      </c>
      <c r="N38" s="1">
        <f>'1'!$I$10</f>
        <v>3</v>
      </c>
      <c r="O38" s="18"/>
      <c r="P38" s="82" t="s">
        <v>16</v>
      </c>
      <c r="Q38" s="1">
        <f>'1'!$J$10</f>
        <v>4</v>
      </c>
      <c r="R38" s="24"/>
      <c r="S38" s="24"/>
      <c r="T38" s="24"/>
      <c r="U38" s="82" t="s">
        <v>16</v>
      </c>
      <c r="V38" s="1">
        <f>'1'!K10</f>
        <v>5</v>
      </c>
      <c r="W38" s="18"/>
      <c r="X38" s="82" t="s">
        <v>16</v>
      </c>
      <c r="Y38" s="1">
        <f>'1'!$L$10</f>
        <v>6</v>
      </c>
      <c r="Z38" s="18"/>
      <c r="AA38" s="82" t="s">
        <v>16</v>
      </c>
      <c r="AB38" s="1">
        <f>'1'!$M$10</f>
        <v>7</v>
      </c>
      <c r="AC38" s="24"/>
      <c r="AD38" s="82" t="s">
        <v>16</v>
      </c>
      <c r="AE38" s="1">
        <f>'1'!$N$10</f>
        <v>8</v>
      </c>
      <c r="AF38" s="18"/>
      <c r="AG38" s="82" t="s">
        <v>16</v>
      </c>
      <c r="AH38" s="1">
        <f>'1'!$O$10</f>
        <v>9</v>
      </c>
      <c r="AI38" s="24"/>
      <c r="AJ38" s="82" t="s">
        <v>16</v>
      </c>
      <c r="AK38" s="1">
        <f>'1'!$P$10</f>
        <v>10</v>
      </c>
      <c r="AL38" s="18"/>
      <c r="AM38" s="82" t="s">
        <v>16</v>
      </c>
      <c r="AN38" s="1">
        <f>'1'!$Q$10</f>
        <v>11</v>
      </c>
      <c r="AO38" s="24"/>
      <c r="AP38" s="24"/>
      <c r="AQ38" s="24"/>
      <c r="AR38" s="24"/>
      <c r="AS38" s="24"/>
      <c r="AT38" s="24"/>
      <c r="AU38" s="82" t="s">
        <v>16</v>
      </c>
      <c r="AV38" s="1">
        <f>'1'!$R$10</f>
        <v>12</v>
      </c>
      <c r="AW38" s="18"/>
      <c r="AX38" s="82" t="s">
        <v>16</v>
      </c>
      <c r="AY38" s="1">
        <f>'1'!$S$10</f>
        <v>13</v>
      </c>
      <c r="AZ38" s="24"/>
      <c r="BA38" s="82" t="s">
        <v>16</v>
      </c>
      <c r="BB38" s="1">
        <f>'1'!$T$10</f>
        <v>14</v>
      </c>
      <c r="BC38" s="18"/>
      <c r="BD38" s="82" t="s">
        <v>16</v>
      </c>
      <c r="BE38" s="1">
        <f>'1'!$U$10</f>
        <v>15</v>
      </c>
      <c r="BF38" s="24"/>
      <c r="BG38" s="24"/>
      <c r="BH38" s="24"/>
      <c r="BI38" s="82" t="s">
        <v>16</v>
      </c>
      <c r="BJ38" s="1">
        <f>'1'!$V$10</f>
        <v>16</v>
      </c>
      <c r="BK38" s="18"/>
      <c r="BL38" s="82" t="s">
        <v>16</v>
      </c>
      <c r="BM38" s="1">
        <f>'1'!$W$10</f>
        <v>17</v>
      </c>
      <c r="BN38" s="24"/>
      <c r="BO38" s="82" t="s">
        <v>16</v>
      </c>
      <c r="BP38" s="1">
        <f>'1'!$X$10</f>
        <v>18</v>
      </c>
      <c r="BQ38" s="24"/>
      <c r="BR38" s="82" t="s">
        <v>16</v>
      </c>
      <c r="BS38" s="1">
        <f>'1'!$AC$10</f>
        <v>23</v>
      </c>
      <c r="BT38" s="24"/>
      <c r="BU38" s="82" t="s">
        <v>16</v>
      </c>
      <c r="BV38" s="1">
        <f>'1'!$AD$10</f>
        <v>24</v>
      </c>
      <c r="BW38" s="18"/>
      <c r="BX38" s="18"/>
      <c r="BY38" s="82" t="s">
        <v>16</v>
      </c>
      <c r="BZ38" s="1">
        <f>'1'!$Y$10</f>
        <v>19</v>
      </c>
      <c r="CA38" s="18"/>
      <c r="CB38" s="82" t="s">
        <v>16</v>
      </c>
      <c r="CC38" s="1">
        <f>'1'!$Z$10</f>
        <v>20</v>
      </c>
      <c r="CD38" s="122"/>
      <c r="CE38" s="82" t="s">
        <v>16</v>
      </c>
      <c r="CF38" s="1">
        <f>'1'!$AA$10</f>
        <v>21</v>
      </c>
      <c r="CG38" s="18"/>
      <c r="CH38" s="82" t="s">
        <v>16</v>
      </c>
      <c r="CI38" s="1">
        <f>'1'!$AB$10</f>
        <v>22</v>
      </c>
      <c r="CJ38" s="119"/>
      <c r="CK38" s="24"/>
      <c r="CL38" s="24"/>
      <c r="CM38" s="54" t="s">
        <v>16</v>
      </c>
      <c r="CN38" s="55" t="str">
        <f>'1'!AF10</f>
        <v>0</v>
      </c>
      <c r="CO38" s="18"/>
      <c r="CP38" s="54" t="s">
        <v>16</v>
      </c>
      <c r="CQ38" s="55" t="str">
        <f>'1'!AG10</f>
        <v>0</v>
      </c>
      <c r="CR38" s="18"/>
      <c r="CS38" s="54" t="s">
        <v>16</v>
      </c>
      <c r="CT38" s="55" t="str">
        <f>'1'!AH10</f>
        <v>0</v>
      </c>
      <c r="CU38" s="18"/>
      <c r="CV38" s="28" t="s">
        <v>16</v>
      </c>
      <c r="CW38" s="58" t="str">
        <f>'1'!AI10</f>
        <v>0</v>
      </c>
      <c r="CX38" s="18"/>
      <c r="CY38" s="28" t="s">
        <v>16</v>
      </c>
      <c r="CZ38" s="58" t="str">
        <f>'1'!AJ10</f>
        <v>0</v>
      </c>
      <c r="DA38" s="24"/>
    </row>
    <row r="39" spans="5:120">
      <c r="E39" s="18"/>
      <c r="F39" s="18"/>
      <c r="G39" s="24"/>
      <c r="H39" s="24"/>
      <c r="I39" s="18"/>
      <c r="J39" s="24"/>
      <c r="K39" s="24"/>
      <c r="L39" s="24"/>
      <c r="M39" s="24"/>
      <c r="N39" s="24"/>
      <c r="O39" s="24"/>
      <c r="P39" s="18"/>
      <c r="Q39" s="18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18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119"/>
      <c r="CK39" s="24"/>
      <c r="CL39" s="24"/>
      <c r="CM39" s="24"/>
      <c r="CN39" s="24"/>
      <c r="CO39" s="120"/>
      <c r="CP39" s="24"/>
      <c r="CQ39" s="24"/>
      <c r="CR39" s="120"/>
      <c r="CS39" s="24"/>
      <c r="CT39" s="24"/>
      <c r="CU39" s="120"/>
      <c r="CV39" s="24"/>
      <c r="CW39" s="24"/>
      <c r="CX39" s="120"/>
      <c r="CY39" s="24"/>
      <c r="CZ39" s="24"/>
      <c r="DA39" s="24"/>
    </row>
    <row r="40" spans="5:120">
      <c r="E40" s="18"/>
      <c r="F40" s="18"/>
      <c r="G40" s="24"/>
      <c r="H40" s="24"/>
      <c r="I40" s="18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18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</row>
    <row r="41" spans="5:120">
      <c r="E41" s="18"/>
      <c r="F41" s="18"/>
      <c r="G41" s="18"/>
      <c r="H41" s="18"/>
      <c r="I41" s="18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126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</row>
    <row r="42" spans="5:120">
      <c r="E42" s="18"/>
      <c r="F42" s="18"/>
      <c r="G42" s="18"/>
      <c r="H42" s="18"/>
      <c r="I42" s="18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</row>
  </sheetData>
  <mergeCells count="260">
    <mergeCell ref="AX36:AY36"/>
    <mergeCell ref="CV36:CW36"/>
    <mergeCell ref="M15:R15"/>
    <mergeCell ref="F15:L15"/>
    <mergeCell ref="AF15:AO15"/>
    <mergeCell ref="T15:AE15"/>
    <mergeCell ref="AT15:AW15"/>
    <mergeCell ref="AX15:BA15"/>
    <mergeCell ref="BB15:BF15"/>
    <mergeCell ref="CP19:CQ19"/>
    <mergeCell ref="CP20:CQ20"/>
    <mergeCell ref="CP36:CQ36"/>
    <mergeCell ref="CS19:CT19"/>
    <mergeCell ref="CS20:CT20"/>
    <mergeCell ref="CS36:CT36"/>
    <mergeCell ref="U24:V24"/>
    <mergeCell ref="U25:V25"/>
    <mergeCell ref="U28:V28"/>
    <mergeCell ref="U29:V29"/>
    <mergeCell ref="U30:V30"/>
    <mergeCell ref="U32:V32"/>
    <mergeCell ref="U33:V33"/>
    <mergeCell ref="U34:V34"/>
    <mergeCell ref="U36:V36"/>
    <mergeCell ref="BL34:BM34"/>
    <mergeCell ref="BI36:BJ36"/>
    <mergeCell ref="BA36:BB36"/>
    <mergeCell ref="BD36:BE36"/>
    <mergeCell ref="BA28:BB28"/>
    <mergeCell ref="BD28:BE28"/>
    <mergeCell ref="BA29:BB29"/>
    <mergeCell ref="BD29:BE29"/>
    <mergeCell ref="BA30:BB30"/>
    <mergeCell ref="BD30:BE30"/>
    <mergeCell ref="BA32:BB32"/>
    <mergeCell ref="BD32:BE32"/>
    <mergeCell ref="BA33:BB33"/>
    <mergeCell ref="BD33:BE33"/>
    <mergeCell ref="BA34:BB34"/>
    <mergeCell ref="BD34:BE34"/>
    <mergeCell ref="CM36:CN36"/>
    <mergeCell ref="BL36:BM36"/>
    <mergeCell ref="BY33:BZ33"/>
    <mergeCell ref="BY32:BZ32"/>
    <mergeCell ref="BY30:BZ30"/>
    <mergeCell ref="BY29:BZ29"/>
    <mergeCell ref="BY28:BZ28"/>
    <mergeCell ref="BU33:BV33"/>
    <mergeCell ref="BU34:BV34"/>
    <mergeCell ref="BU36:BV36"/>
    <mergeCell ref="BU28:BV28"/>
    <mergeCell ref="BU29:BV29"/>
    <mergeCell ref="BU30:BV30"/>
    <mergeCell ref="BU32:BV32"/>
    <mergeCell ref="CE30:CF30"/>
    <mergeCell ref="CB30:CC30"/>
    <mergeCell ref="CB32:CC32"/>
    <mergeCell ref="CB33:CC33"/>
    <mergeCell ref="CB34:CC34"/>
    <mergeCell ref="CB36:CC36"/>
    <mergeCell ref="CE32:CF32"/>
    <mergeCell ref="CE33:CF33"/>
    <mergeCell ref="BO29:BP29"/>
    <mergeCell ref="BO30:BP30"/>
    <mergeCell ref="AD36:AE36"/>
    <mergeCell ref="AG36:AH36"/>
    <mergeCell ref="BI24:BJ24"/>
    <mergeCell ref="BI25:BJ25"/>
    <mergeCell ref="BI28:BJ28"/>
    <mergeCell ref="BL28:BM28"/>
    <mergeCell ref="BI29:BJ29"/>
    <mergeCell ref="BL29:BM29"/>
    <mergeCell ref="BI30:BJ30"/>
    <mergeCell ref="BL30:BM30"/>
    <mergeCell ref="BI32:BJ32"/>
    <mergeCell ref="BL32:BM32"/>
    <mergeCell ref="BI33:BJ33"/>
    <mergeCell ref="BL33:BM33"/>
    <mergeCell ref="AD29:AE29"/>
    <mergeCell ref="AG29:AH29"/>
    <mergeCell ref="BI34:BJ34"/>
    <mergeCell ref="AD24:AE24"/>
    <mergeCell ref="AD25:AE25"/>
    <mergeCell ref="AD28:AE28"/>
    <mergeCell ref="AG28:AH28"/>
    <mergeCell ref="AX28:AY28"/>
    <mergeCell ref="AX29:AY29"/>
    <mergeCell ref="AD30:AE30"/>
    <mergeCell ref="AG30:AH30"/>
    <mergeCell ref="AU28:AV28"/>
    <mergeCell ref="AU29:AV29"/>
    <mergeCell ref="AU30:AV30"/>
    <mergeCell ref="AU32:AV32"/>
    <mergeCell ref="AU33:AV33"/>
    <mergeCell ref="AU34:AV34"/>
    <mergeCell ref="AX32:AY32"/>
    <mergeCell ref="AX33:AY33"/>
    <mergeCell ref="AX34:AY34"/>
    <mergeCell ref="AM34:AN34"/>
    <mergeCell ref="CY36:CZ36"/>
    <mergeCell ref="AJ19:AK19"/>
    <mergeCell ref="AM19:AN19"/>
    <mergeCell ref="AU19:AV19"/>
    <mergeCell ref="AJ20:AK20"/>
    <mergeCell ref="AX30:AY30"/>
    <mergeCell ref="AX19:AY19"/>
    <mergeCell ref="AX20:AY20"/>
    <mergeCell ref="CE24:CF24"/>
    <mergeCell ref="CE25:CF25"/>
    <mergeCell ref="CE28:CF28"/>
    <mergeCell ref="CH28:CI28"/>
    <mergeCell ref="CH33:CI33"/>
    <mergeCell ref="CE34:CF34"/>
    <mergeCell ref="CH34:CI34"/>
    <mergeCell ref="CE36:CF36"/>
    <mergeCell ref="CH36:CI36"/>
    <mergeCell ref="BY34:BZ34"/>
    <mergeCell ref="BY36:BZ36"/>
    <mergeCell ref="CE29:CF29"/>
    <mergeCell ref="CH29:CI29"/>
    <mergeCell ref="CB29:CC29"/>
    <mergeCell ref="CH30:CI30"/>
    <mergeCell ref="CH32:CI32"/>
    <mergeCell ref="AJ24:AK24"/>
    <mergeCell ref="AJ25:AK25"/>
    <mergeCell ref="AJ28:AK28"/>
    <mergeCell ref="AM28:AN28"/>
    <mergeCell ref="AJ29:AK29"/>
    <mergeCell ref="AM29:AN29"/>
    <mergeCell ref="AM30:AN30"/>
    <mergeCell ref="AM32:AN32"/>
    <mergeCell ref="AM33:AN33"/>
    <mergeCell ref="AJ36:AK36"/>
    <mergeCell ref="AM36:AN36"/>
    <mergeCell ref="AU24:AV24"/>
    <mergeCell ref="AU25:AV25"/>
    <mergeCell ref="X28:Y28"/>
    <mergeCell ref="AA28:AB28"/>
    <mergeCell ref="X29:Y29"/>
    <mergeCell ref="AA29:AB29"/>
    <mergeCell ref="X30:Y30"/>
    <mergeCell ref="AA30:AB30"/>
    <mergeCell ref="AJ30:AK30"/>
    <mergeCell ref="AJ32:AK32"/>
    <mergeCell ref="AJ33:AK33"/>
    <mergeCell ref="AJ34:AK34"/>
    <mergeCell ref="AU36:AV36"/>
    <mergeCell ref="AG32:AH32"/>
    <mergeCell ref="AD33:AE33"/>
    <mergeCell ref="AG33:AH33"/>
    <mergeCell ref="AD34:AE34"/>
    <mergeCell ref="AG34:AH34"/>
    <mergeCell ref="AD32:AE32"/>
    <mergeCell ref="X32:Y32"/>
    <mergeCell ref="AA32:AB32"/>
    <mergeCell ref="X33:Y33"/>
    <mergeCell ref="AA33:AB33"/>
    <mergeCell ref="X34:Y34"/>
    <mergeCell ref="AA34:AB34"/>
    <mergeCell ref="X36:Y36"/>
    <mergeCell ref="AA36:AB36"/>
    <mergeCell ref="M28:N28"/>
    <mergeCell ref="M29:N29"/>
    <mergeCell ref="M30:N30"/>
    <mergeCell ref="G32:H32"/>
    <mergeCell ref="M33:N33"/>
    <mergeCell ref="G33:H33"/>
    <mergeCell ref="M32:N32"/>
    <mergeCell ref="M34:N34"/>
    <mergeCell ref="M36:N36"/>
    <mergeCell ref="P28:Q28"/>
    <mergeCell ref="P29:Q29"/>
    <mergeCell ref="P30:Q30"/>
    <mergeCell ref="P32:Q32"/>
    <mergeCell ref="P33:Q33"/>
    <mergeCell ref="P34:Q34"/>
    <mergeCell ref="P36:Q36"/>
    <mergeCell ref="G34:H34"/>
    <mergeCell ref="G36:H36"/>
    <mergeCell ref="J28:K28"/>
    <mergeCell ref="J29:K29"/>
    <mergeCell ref="J30:K30"/>
    <mergeCell ref="J32:K32"/>
    <mergeCell ref="J33:K33"/>
    <mergeCell ref="J34:K34"/>
    <mergeCell ref="J36:K36"/>
    <mergeCell ref="G28:H28"/>
    <mergeCell ref="G29:H29"/>
    <mergeCell ref="G30:H30"/>
    <mergeCell ref="CM20:CN20"/>
    <mergeCell ref="E1:DA1"/>
    <mergeCell ref="E13:DA13"/>
    <mergeCell ref="X24:Y24"/>
    <mergeCell ref="X25:Y25"/>
    <mergeCell ref="E2:DA2"/>
    <mergeCell ref="E3:DA3"/>
    <mergeCell ref="E4:DA4"/>
    <mergeCell ref="E5:DA5"/>
    <mergeCell ref="E6:DA6"/>
    <mergeCell ref="E7:DA7"/>
    <mergeCell ref="E8:DA8"/>
    <mergeCell ref="E9:DA9"/>
    <mergeCell ref="E11:DA11"/>
    <mergeCell ref="CM19:CN19"/>
    <mergeCell ref="AQ17:AR17"/>
    <mergeCell ref="G24:H24"/>
    <mergeCell ref="G25:H25"/>
    <mergeCell ref="M24:N24"/>
    <mergeCell ref="M25:N25"/>
    <mergeCell ref="BA24:BB24"/>
    <mergeCell ref="BA25:BB25"/>
    <mergeCell ref="AQ19:AR19"/>
    <mergeCell ref="AQ20:AR20"/>
    <mergeCell ref="F14:R14"/>
    <mergeCell ref="F16:Q16"/>
    <mergeCell ref="T16:AN16"/>
    <mergeCell ref="T14:AO14"/>
    <mergeCell ref="AT14:BF14"/>
    <mergeCell ref="AT16:BE16"/>
    <mergeCell ref="CE22:CI22"/>
    <mergeCell ref="BH14:CK14"/>
    <mergeCell ref="BH15:CK15"/>
    <mergeCell ref="BH16:CJ16"/>
    <mergeCell ref="BI19:BW19"/>
    <mergeCell ref="BY19:BZ19"/>
    <mergeCell ref="CB19:CC19"/>
    <mergeCell ref="CE19:CJ19"/>
    <mergeCell ref="AM21:AN21"/>
    <mergeCell ref="AQ21:AR21"/>
    <mergeCell ref="AU21:AV21"/>
    <mergeCell ref="AX21:AY21"/>
    <mergeCell ref="AM20:AN20"/>
    <mergeCell ref="AU20:AV20"/>
    <mergeCell ref="AJ21:AK21"/>
    <mergeCell ref="CB28:CC28"/>
    <mergeCell ref="BY20:BZ20"/>
    <mergeCell ref="BY21:BZ21"/>
    <mergeCell ref="CB20:CC20"/>
    <mergeCell ref="CB21:CC21"/>
    <mergeCell ref="BI20:BW20"/>
    <mergeCell ref="BI21:BW21"/>
    <mergeCell ref="BI22:BV22"/>
    <mergeCell ref="CE20:CJ20"/>
    <mergeCell ref="CE21:CJ21"/>
    <mergeCell ref="BO24:BP24"/>
    <mergeCell ref="BO25:BP25"/>
    <mergeCell ref="BO28:BP28"/>
    <mergeCell ref="BO32:BP32"/>
    <mergeCell ref="BO33:BP33"/>
    <mergeCell ref="BO34:BP34"/>
    <mergeCell ref="BO36:BP36"/>
    <mergeCell ref="BR24:BS24"/>
    <mergeCell ref="BR25:BS25"/>
    <mergeCell ref="BR28:BS28"/>
    <mergeCell ref="BR29:BS29"/>
    <mergeCell ref="BR30:BS30"/>
    <mergeCell ref="BR32:BS32"/>
    <mergeCell ref="BR33:BS33"/>
    <mergeCell ref="BR34:BS34"/>
    <mergeCell ref="BR36:BS36"/>
  </mergeCells>
  <pageMargins left="0.7" right="0.7" top="0.75" bottom="0.75" header="0.3" footer="0.3"/>
  <pageSetup paperSize="9" scale="3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8" r:id="rId4" name="Button 4">
              <controlPr defaultSize="0" print="0" autoFill="0" autoPict="0" macro="[0]!HideScheme">
                <anchor moveWithCells="1" sizeWithCells="1">
                  <from>
                    <xdr:col>0</xdr:col>
                    <xdr:colOff>219075</xdr:colOff>
                    <xdr:row>4</xdr:row>
                    <xdr:rowOff>142875</xdr:rowOff>
                  </from>
                  <to>
                    <xdr:col>3</xdr:col>
                    <xdr:colOff>295275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5" name="Button 5">
              <controlPr defaultSize="0" print="0" autoFill="0" autoPict="0" macro="[0]!ShowScheme">
                <anchor moveWithCells="1" sizeWithCells="1">
                  <from>
                    <xdr:col>0</xdr:col>
                    <xdr:colOff>219075</xdr:colOff>
                    <xdr:row>9</xdr:row>
                    <xdr:rowOff>9525</xdr:rowOff>
                  </from>
                  <to>
                    <xdr:col>3</xdr:col>
                    <xdr:colOff>295275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D5A7-4A3C-442B-B0BE-30BF595E07A1}">
  <sheetPr codeName="Лист6"/>
  <dimension ref="A1"/>
  <sheetViews>
    <sheetView zoomScale="130" zoomScaleNormal="130" workbookViewId="0"/>
  </sheetViews>
  <sheetFormatPr defaultRowHeight="12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Title</vt:lpstr>
      <vt:lpstr>Service</vt:lpstr>
      <vt:lpstr>1</vt:lpstr>
      <vt:lpstr>1 схема</vt:lpstr>
      <vt:lpstr>1 расположение</vt:lpstr>
      <vt:lpstr>'1 схема'!Область_печати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Ильин Андрей Валерьевич</dc:creator>
  <cp:lastModifiedBy>Artem</cp:lastModifiedBy>
  <dcterms:created xsi:type="dcterms:W3CDTF">2023-08-14T08:01:21Z</dcterms:created>
  <dcterms:modified xsi:type="dcterms:W3CDTF">2026-10-15T14:12:04Z</dcterms:modified>
</cp:coreProperties>
</file>